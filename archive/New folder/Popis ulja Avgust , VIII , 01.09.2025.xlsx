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\Documents\Tunelmak-slike instalacije\"/>
    </mc:Choice>
  </mc:AlternateContent>
  <xr:revisionPtr revIDLastSave="0" documentId="13_ncr:1_{3CE750F6-1EC7-4CA2-828D-9DAD8F01D69C}" xr6:coauthVersionLast="47" xr6:coauthVersionMax="47" xr10:uidLastSave="{00000000-0000-0000-0000-000000000000}"/>
  <bookViews>
    <workbookView xWindow="-120" yWindow="-120" windowWidth="29040" windowHeight="15720" xr2:uid="{BFE9C57F-02DD-487A-A885-2ABDE9D5F6E9}"/>
  </bookViews>
  <sheets>
    <sheet name="08.2025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G17" i="1" s="1"/>
  <c r="F16" i="1"/>
  <c r="G16" i="1" s="1"/>
  <c r="F15" i="1"/>
  <c r="G15" i="1" s="1"/>
  <c r="F14" i="1"/>
  <c r="G14" i="1" s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</calcChain>
</file>

<file path=xl/sharedStrings.xml><?xml version="1.0" encoding="utf-8"?>
<sst xmlns="http://schemas.openxmlformats.org/spreadsheetml/2006/main" count="22" uniqueCount="22">
  <si>
    <t>5W30</t>
  </si>
  <si>
    <t>AD 15W40</t>
  </si>
  <si>
    <t>Komatsu 15W40</t>
  </si>
  <si>
    <t>Antifriz</t>
  </si>
  <si>
    <t>75W90</t>
  </si>
  <si>
    <t>HV 46</t>
  </si>
  <si>
    <t>SAE 30</t>
  </si>
  <si>
    <t>SAE 10</t>
  </si>
  <si>
    <t>10W40</t>
  </si>
  <si>
    <t>15W40</t>
  </si>
  <si>
    <t>Višak/Manjak</t>
  </si>
  <si>
    <t>Koliko bi trebalo</t>
  </si>
  <si>
    <t>Potrošnja</t>
  </si>
  <si>
    <t>Izmereno</t>
  </si>
  <si>
    <t>Magacin</t>
  </si>
  <si>
    <t>Početno</t>
  </si>
  <si>
    <t>Tip ulja</t>
  </si>
  <si>
    <t>Radionica</t>
  </si>
  <si>
    <t>Datum:  01.09.2025.</t>
  </si>
  <si>
    <t xml:space="preserve">          Popis ulja Avgust 2025.</t>
  </si>
  <si>
    <t xml:space="preserve">Odobrio :  </t>
  </si>
  <si>
    <t xml:space="preserve">Uradio: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</si>
</sst>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2" borderId="0" xfId="0" applyFill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15">
    <dxf>
      <fill>
        <patternFill>
          <bgColor theme="4"/>
        </patternFill>
      </fill>
    </dxf>
    <dxf>
      <fill>
        <patternFill>
          <bgColor theme="5" tint="0.39994506668294322"/>
        </patternFill>
      </fill>
    </dxf>
    <dxf>
      <fill>
        <patternFill>
          <bgColor theme="4"/>
        </patternFill>
      </fill>
    </dxf>
    <dxf>
      <fill>
        <patternFill>
          <bgColor theme="5" tint="0.39994506668294322"/>
        </patternFill>
      </fill>
    </dxf>
    <dxf>
      <fill>
        <patternFill>
          <bgColor theme="4"/>
        </patternFill>
      </fill>
    </dxf>
    <dxf>
      <fill>
        <patternFill>
          <bgColor theme="5" tint="0.39994506668294322"/>
        </patternFill>
      </fill>
    </dxf>
    <dxf>
      <numFmt numFmtId="0" formatCode="General"/>
    </dxf>
    <dxf>
      <numFmt numFmtId="0" formatCode="General"/>
    </dxf>
    <dxf>
      <font>
        <b/>
      </font>
      <alignment horizontal="center" vertical="center" textRotation="0" wrapText="0" indent="0" justifyLastLine="0" shrinkToFit="0" readingOrder="0"/>
    </dxf>
    <dxf>
      <fill>
        <patternFill patternType="solid">
          <fgColor theme="9" tint="0.59999389629810485"/>
          <bgColor theme="9" tint="0.59999389629810485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9"/>
          <bgColor theme="9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9" tint="0.79998168889431442"/>
          <bgColor theme="9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TableStyleMedium14 2" pivot="0" count="6" xr9:uid="{C9E98154-7393-4B45-ADEF-C1A561FF970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Column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328447</xdr:colOff>
      <xdr:row>0</xdr:row>
      <xdr:rowOff>19707</xdr:rowOff>
    </xdr:from>
    <xdr:to>
      <xdr:col>7</xdr:col>
      <xdr:colOff>18721</xdr:colOff>
      <xdr:row>2</xdr:row>
      <xdr:rowOff>115345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EA5CAC-35BE-42B6-82F7-D39C9989B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292" y="19707"/>
          <a:ext cx="2232463" cy="634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6F859-55F4-4A29-9E48-F186564A975A}" name="Table13456781091112131415161718" displayName="Table13456781091112131415161718" ref="A5:G17" totalsRowShown="0" headerRowDxfId="8">
  <tableColumns count="7">
    <tableColumn id="1" xr3:uid="{A07115EA-C5DF-4D44-AA02-B2ED4D4E6AA5}" name="Tip ulja"/>
    <tableColumn id="2" xr3:uid="{ECB3D7C3-2B95-4215-8A57-3EA7CAE46159}" name="Početno"/>
    <tableColumn id="3" xr3:uid="{76639F73-9535-4011-93E2-01566B54C520}" name="Magacin"/>
    <tableColumn id="4" xr3:uid="{50870E33-F5E3-458E-831D-1B9D8B57115A}" name="Izmereno"/>
    <tableColumn id="5" xr3:uid="{CF6F5EE2-81DD-41D2-AE27-FE9AAA8C522E}" name="Potrošnja"/>
    <tableColumn id="6" xr3:uid="{33639C74-D125-419E-B069-591D3FFE02D6}" name="Koliko bi trebalo" dataDxfId="7">
      <calculatedColumnFormula>Table13456781091112131415161718[[#This Row],[Početno]]+Table13456781091112131415161718[[#This Row],[Magacin]]-Table13456781091112131415161718[[#This Row],[Potrošnja]]</calculatedColumnFormula>
    </tableColumn>
    <tableColumn id="7" xr3:uid="{EB5EB860-1A79-40CC-8753-F996C805F71A}" name="Višak/Manjak" dataDxfId="6">
      <calculatedColumnFormula>Table13456781091112131415161718[[#This Row],[Izmereno]]-Table13456781091112131415161718[[#This Row],[Koliko bi trebalo]]</calculatedColumnFormula>
    </tableColumn>
  </tableColumns>
  <tableStyleInfo name="TableStyleMedium14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7D68-E98F-4985-A916-8C5DAF96DA97}">
  <dimension ref="A1:G23"/>
  <sheetViews>
    <sheetView tabSelected="1" zoomScale="145" zoomScaleNormal="145" workbookViewId="0">
      <selection activeCell="D22" sqref="D22"/>
    </sheetView>
  </sheetViews>
  <sheetFormatPr defaultRowHeight="15" x14ac:dyDescent="0.25"/>
  <cols>
    <col min="1" max="1" width="15.140625" bestFit="1" customWidth="1"/>
    <col min="2" max="2" width="12.85546875" bestFit="1" customWidth="1"/>
    <col min="3" max="3" width="13" bestFit="1" customWidth="1"/>
    <col min="4" max="5" width="14" bestFit="1" customWidth="1"/>
    <col min="6" max="6" width="20.28515625" bestFit="1" customWidth="1"/>
    <col min="7" max="7" width="17.85546875" bestFit="1" customWidth="1"/>
  </cols>
  <sheetData>
    <row r="1" spans="1:7" ht="18.75" x14ac:dyDescent="0.3">
      <c r="A1" s="5" t="s">
        <v>18</v>
      </c>
      <c r="B1" s="6"/>
      <c r="C1" s="5" t="s">
        <v>19</v>
      </c>
      <c r="D1" s="6"/>
      <c r="E1" s="6"/>
    </row>
    <row r="2" spans="1:7" ht="24" customHeight="1" x14ac:dyDescent="0.25"/>
    <row r="4" spans="1:7" ht="15.75" x14ac:dyDescent="0.25">
      <c r="A4" s="4" t="s">
        <v>17</v>
      </c>
    </row>
    <row r="5" spans="1:7" ht="24.6" customHeight="1" x14ac:dyDescent="0.25">
      <c r="A5" s="2" t="s">
        <v>16</v>
      </c>
      <c r="B5" s="2" t="s">
        <v>15</v>
      </c>
      <c r="C5" s="2" t="s">
        <v>14</v>
      </c>
      <c r="D5" s="2" t="s">
        <v>13</v>
      </c>
      <c r="E5" s="2" t="s">
        <v>12</v>
      </c>
      <c r="F5" s="2" t="s">
        <v>11</v>
      </c>
      <c r="G5" s="2" t="s">
        <v>10</v>
      </c>
    </row>
    <row r="6" spans="1:7" x14ac:dyDescent="0.25">
      <c r="A6" t="s">
        <v>9</v>
      </c>
      <c r="B6">
        <v>243</v>
      </c>
      <c r="C6">
        <v>0</v>
      </c>
      <c r="D6">
        <v>157</v>
      </c>
      <c r="E6">
        <v>84</v>
      </c>
      <c r="F6">
        <f>Table13456781091112131415161718[[#This Row],[Početno]]+Table13456781091112131415161718[[#This Row],[Magacin]]-Table13456781091112131415161718[[#This Row],[Potrošnja]]</f>
        <v>159</v>
      </c>
      <c r="G6">
        <f>Table13456781091112131415161718[[#This Row],[Izmereno]]-Table13456781091112131415161718[[#This Row],[Koliko bi trebalo]]</f>
        <v>-2</v>
      </c>
    </row>
    <row r="7" spans="1:7" x14ac:dyDescent="0.25">
      <c r="A7" t="s">
        <v>8</v>
      </c>
      <c r="B7">
        <v>85</v>
      </c>
      <c r="C7">
        <v>120</v>
      </c>
      <c r="D7">
        <v>66</v>
      </c>
      <c r="E7">
        <v>134</v>
      </c>
      <c r="F7">
        <f>Table13456781091112131415161718[[#This Row],[Početno]]+Table13456781091112131415161718[[#This Row],[Magacin]]-Table13456781091112131415161718[[#This Row],[Potrošnja]]</f>
        <v>71</v>
      </c>
      <c r="G7">
        <f>Table13456781091112131415161718[[#This Row],[Izmereno]]-Table13456781091112131415161718[[#This Row],[Koliko bi trebalo]]</f>
        <v>-5</v>
      </c>
    </row>
    <row r="8" spans="1:7" x14ac:dyDescent="0.25">
      <c r="A8" t="s">
        <v>7</v>
      </c>
      <c r="B8">
        <v>122</v>
      </c>
      <c r="C8">
        <v>0</v>
      </c>
      <c r="D8">
        <v>110</v>
      </c>
      <c r="E8">
        <v>10</v>
      </c>
      <c r="F8">
        <f>Table13456781091112131415161718[[#This Row],[Početno]]+Table13456781091112131415161718[[#This Row],[Magacin]]-Table13456781091112131415161718[[#This Row],[Potrošnja]]</f>
        <v>112</v>
      </c>
      <c r="G8">
        <f>Table13456781091112131415161718[[#This Row],[Izmereno]]-Table13456781091112131415161718[[#This Row],[Koliko bi trebalo]]</f>
        <v>-2</v>
      </c>
    </row>
    <row r="9" spans="1:7" x14ac:dyDescent="0.25">
      <c r="A9" t="s">
        <v>6</v>
      </c>
      <c r="B9">
        <v>38</v>
      </c>
      <c r="C9">
        <v>0</v>
      </c>
      <c r="D9">
        <v>38</v>
      </c>
      <c r="E9">
        <v>0</v>
      </c>
      <c r="F9">
        <f>Table13456781091112131415161718[[#This Row],[Početno]]+Table13456781091112131415161718[[#This Row],[Magacin]]-Table13456781091112131415161718[[#This Row],[Potrošnja]]</f>
        <v>38</v>
      </c>
      <c r="G9">
        <f>Table13456781091112131415161718[[#This Row],[Izmereno]]-Table13456781091112131415161718[[#This Row],[Koliko bi trebalo]]</f>
        <v>0</v>
      </c>
    </row>
    <row r="10" spans="1:7" x14ac:dyDescent="0.25">
      <c r="A10" t="s">
        <v>5</v>
      </c>
      <c r="B10">
        <v>4</v>
      </c>
      <c r="C10">
        <v>410</v>
      </c>
      <c r="D10">
        <v>124</v>
      </c>
      <c r="E10">
        <v>287</v>
      </c>
      <c r="F10">
        <f>Table13456781091112131415161718[[#This Row],[Početno]]+Table13456781091112131415161718[[#This Row],[Magacin]]-Table13456781091112131415161718[[#This Row],[Potrošnja]]</f>
        <v>127</v>
      </c>
      <c r="G10">
        <f>Table13456781091112131415161718[[#This Row],[Izmereno]]-Table13456781091112131415161718[[#This Row],[Koliko bi trebalo]]</f>
        <v>-3</v>
      </c>
    </row>
    <row r="11" spans="1:7" x14ac:dyDescent="0.25">
      <c r="A11" t="s">
        <v>4</v>
      </c>
      <c r="B11">
        <v>124</v>
      </c>
      <c r="C11">
        <v>205</v>
      </c>
      <c r="D11">
        <v>240</v>
      </c>
      <c r="E11">
        <v>84</v>
      </c>
      <c r="F11">
        <f>Table13456781091112131415161718[[#This Row],[Početno]]+Table13456781091112131415161718[[#This Row],[Magacin]]-Table13456781091112131415161718[[#This Row],[Potrošnja]]</f>
        <v>245</v>
      </c>
      <c r="G11">
        <f>Table13456781091112131415161718[[#This Row],[Izmereno]]-Table13456781091112131415161718[[#This Row],[Koliko bi trebalo]]</f>
        <v>-5</v>
      </c>
    </row>
    <row r="12" spans="1:7" x14ac:dyDescent="0.25">
      <c r="A12" t="s">
        <v>3</v>
      </c>
      <c r="B12">
        <v>45</v>
      </c>
      <c r="C12">
        <v>205</v>
      </c>
      <c r="D12">
        <v>194</v>
      </c>
      <c r="E12">
        <v>54</v>
      </c>
      <c r="F12">
        <f>Table13456781091112131415161718[[#This Row],[Početno]]+Table13456781091112131415161718[[#This Row],[Magacin]]-Table13456781091112131415161718[[#This Row],[Potrošnja]]</f>
        <v>196</v>
      </c>
      <c r="G12">
        <f>Table13456781091112131415161718[[#This Row],[Izmereno]]-Table13456781091112131415161718[[#This Row],[Koliko bi trebalo]]</f>
        <v>-2</v>
      </c>
    </row>
    <row r="13" spans="1:7" x14ac:dyDescent="0.25">
      <c r="A13" t="s">
        <v>2</v>
      </c>
      <c r="B13">
        <v>112</v>
      </c>
      <c r="C13">
        <v>0</v>
      </c>
      <c r="D13">
        <v>63</v>
      </c>
      <c r="E13">
        <v>45</v>
      </c>
      <c r="F13">
        <f>Table13456781091112131415161718[[#This Row],[Početno]]+Table13456781091112131415161718[[#This Row],[Magacin]]-Table13456781091112131415161718[[#This Row],[Potrošnja]]</f>
        <v>67</v>
      </c>
      <c r="G13">
        <f>Table13456781091112131415161718[[#This Row],[Izmereno]]-Table13456781091112131415161718[[#This Row],[Koliko bi trebalo]]</f>
        <v>-4</v>
      </c>
    </row>
    <row r="14" spans="1:7" x14ac:dyDescent="0.25">
      <c r="A14" t="s">
        <v>1</v>
      </c>
      <c r="B14">
        <v>215</v>
      </c>
      <c r="C14">
        <v>0</v>
      </c>
      <c r="D14">
        <v>122</v>
      </c>
      <c r="E14">
        <v>92</v>
      </c>
      <c r="F14">
        <f>Table13456781091112131415161718[[#This Row],[Početno]]+Table13456781091112131415161718[[#This Row],[Magacin]]-Table13456781091112131415161718[[#This Row],[Potrošnja]]</f>
        <v>123</v>
      </c>
      <c r="G14">
        <f>Table13456781091112131415161718[[#This Row],[Izmereno]]-Table13456781091112131415161718[[#This Row],[Koliko bi trebalo]]</f>
        <v>-1</v>
      </c>
    </row>
    <row r="15" spans="1:7" x14ac:dyDescent="0.25">
      <c r="A15" t="s">
        <v>0</v>
      </c>
      <c r="B15">
        <v>76</v>
      </c>
      <c r="C15">
        <v>0</v>
      </c>
      <c r="D15">
        <v>76</v>
      </c>
      <c r="E15">
        <v>0</v>
      </c>
      <c r="F15">
        <f>Table13456781091112131415161718[[#This Row],[Početno]]+Table13456781091112131415161718[[#This Row],[Magacin]]-Table13456781091112131415161718[[#This Row],[Potrošnja]]</f>
        <v>76</v>
      </c>
      <c r="G15">
        <f>Table13456781091112131415161718[[#This Row],[Izmereno]]-Table13456781091112131415161718[[#This Row],[Koliko bi trebalo]]</f>
        <v>0</v>
      </c>
    </row>
    <row r="16" spans="1:7" x14ac:dyDescent="0.25">
      <c r="F16">
        <f>Table13456781091112131415161718[[#This Row],[Početno]]+Table13456781091112131415161718[[#This Row],[Magacin]]-Table13456781091112131415161718[[#This Row],[Potrošnja]]</f>
        <v>0</v>
      </c>
      <c r="G16">
        <f>Table13456781091112131415161718[[#This Row],[Izmereno]]-Table13456781091112131415161718[[#This Row],[Koliko bi trebalo]]</f>
        <v>0</v>
      </c>
    </row>
    <row r="17" spans="1:7" x14ac:dyDescent="0.25">
      <c r="F17">
        <f>Table13456781091112131415161718[[#This Row],[Početno]]+Table13456781091112131415161718[[#This Row],[Magacin]]-Table13456781091112131415161718[[#This Row],[Potrošnja]]</f>
        <v>0</v>
      </c>
      <c r="G17">
        <f>Table13456781091112131415161718[[#This Row],[Izmereno]]-Table13456781091112131415161718[[#This Row],[Koliko bi trebalo]]</f>
        <v>0</v>
      </c>
    </row>
    <row r="18" spans="1:7" ht="23.45" customHeight="1" x14ac:dyDescent="0.25"/>
    <row r="19" spans="1:7" ht="18.75" x14ac:dyDescent="0.3">
      <c r="A19" s="1" t="s">
        <v>21</v>
      </c>
      <c r="F19" s="7" t="s">
        <v>20</v>
      </c>
      <c r="G19" s="3"/>
    </row>
    <row r="23" spans="1:7" x14ac:dyDescent="0.25">
      <c r="D23" s="8"/>
    </row>
  </sheetData>
  <phoneticPr fontId="3" type="noConversion"/>
  <conditionalFormatting sqref="F19:F21">
    <cfRule type="cellIs" dxfId="5" priority="15" operator="lessThan">
      <formula>0</formula>
    </cfRule>
    <cfRule type="cellIs" dxfId="4" priority="16" operator="greaterThan">
      <formula>0</formula>
    </cfRule>
  </conditionalFormatting>
  <conditionalFormatting sqref="G6:G17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G23:G30">
    <cfRule type="cellIs" dxfId="1" priority="17" operator="lessThan">
      <formula>0</formula>
    </cfRule>
    <cfRule type="cellIs" dxfId="0" priority="18" operator="greaterThan">
      <formula>0</formula>
    </cfRule>
  </conditionalFormatting>
  <pageMargins left="0.7" right="0.7" top="0.75" bottom="0.75" header="0.3" footer="0.3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08.2025.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Denic</dc:creator>
  <cp:lastModifiedBy>Muamer Husagić</cp:lastModifiedBy>
  <cp:lastPrinted>2025-09-11T13:56:01Z</cp:lastPrinted>
  <dcterms:created xsi:type="dcterms:W3CDTF">2024-11-07T11:47:19Z</dcterms:created>
  <dcterms:modified xsi:type="dcterms:W3CDTF">2026-01-24T14:59:51Z</dcterms:modified>
</cp:coreProperties>
</file>