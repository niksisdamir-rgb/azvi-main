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5EBB270-B347-48D8-8ABA-E110497CEFFB}" xr6:coauthVersionLast="47" xr6:coauthVersionMax="47" xr10:uidLastSave="{00000000-0000-0000-0000-000000000000}"/>
  <bookViews>
    <workbookView xWindow="-120" yWindow="-120" windowWidth="29040" windowHeight="15840" tabRatio="191" xr2:uid="{00000000-000D-0000-FFFF-FFFF00000000}"/>
  </bookViews>
  <sheets>
    <sheet name="novembar" sheetId="2" r:id="rId1"/>
    <sheet name="decembar" sheetId="3" r:id="rId2"/>
  </sheets>
  <definedNames>
    <definedName name="_xlnm.Print_Area" localSheetId="1">decembar!$A$1:$AJ$45</definedName>
    <definedName name="_xlnm.Print_Area" localSheetId="0">novembar!$A$1:$AJ$45</definedName>
  </definedNames>
  <calcPr calcId="191029"/>
</workbook>
</file>

<file path=xl/calcChain.xml><?xml version="1.0" encoding="utf-8"?>
<calcChain xmlns="http://schemas.openxmlformats.org/spreadsheetml/2006/main">
  <c r="AJ38" i="2" l="1"/>
  <c r="AJ36" i="2"/>
  <c r="AI38" i="2"/>
  <c r="AI36" i="2"/>
  <c r="AJ34" i="3"/>
  <c r="AI34" i="3"/>
  <c r="AJ32" i="3"/>
  <c r="AI32" i="3"/>
  <c r="AJ30" i="3"/>
  <c r="AI30" i="3"/>
  <c r="AJ28" i="3"/>
  <c r="AI28" i="3"/>
  <c r="AJ26" i="3"/>
  <c r="AI26" i="3"/>
  <c r="AJ24" i="3"/>
  <c r="AI24" i="3"/>
  <c r="AJ22" i="3"/>
  <c r="AI22" i="3"/>
  <c r="AJ20" i="3"/>
  <c r="AI20" i="3"/>
  <c r="A20" i="3"/>
  <c r="AJ18" i="3"/>
  <c r="AI18" i="3"/>
  <c r="AJ16" i="3"/>
  <c r="AI16" i="3"/>
  <c r="A16" i="3"/>
  <c r="AJ14" i="3"/>
  <c r="AI14" i="3"/>
  <c r="AJ12" i="3"/>
  <c r="AI12" i="3"/>
  <c r="A12" i="3"/>
  <c r="AJ10" i="3"/>
  <c r="AI10" i="3"/>
  <c r="AJ8" i="3"/>
  <c r="AI8" i="3"/>
  <c r="AJ6" i="3"/>
  <c r="AI6" i="3"/>
  <c r="AJ4" i="3"/>
  <c r="AI4" i="3"/>
  <c r="AJ34" i="2"/>
  <c r="AJ32" i="2"/>
  <c r="AJ30" i="2"/>
  <c r="AJ28" i="2"/>
  <c r="AJ26" i="2"/>
  <c r="AJ24" i="2"/>
  <c r="AJ22" i="2"/>
  <c r="AJ20" i="2"/>
  <c r="AJ18" i="2"/>
  <c r="AJ16" i="2"/>
  <c r="AJ14" i="2"/>
  <c r="AJ12" i="2"/>
  <c r="AJ10" i="2"/>
  <c r="AJ8" i="2"/>
  <c r="AJ6" i="2"/>
  <c r="AI34" i="2"/>
  <c r="AI32" i="2"/>
  <c r="AI30" i="2"/>
  <c r="AI28" i="2"/>
  <c r="AI26" i="2"/>
  <c r="AI24" i="2"/>
  <c r="AI22" i="2"/>
  <c r="AI20" i="2"/>
  <c r="AI18" i="2"/>
  <c r="AI16" i="2"/>
  <c r="AI14" i="2"/>
  <c r="AI12" i="2"/>
  <c r="AI10" i="2"/>
  <c r="AI8" i="2"/>
  <c r="AI6" i="2"/>
  <c r="AJ4" i="2"/>
  <c r="AI4" i="2"/>
  <c r="A12" i="2"/>
  <c r="A16" i="2"/>
  <c r="A20" i="2"/>
</calcChain>
</file>

<file path=xl/sharedStrings.xml><?xml version="1.0" encoding="utf-8"?>
<sst xmlns="http://schemas.openxmlformats.org/spreadsheetml/2006/main" count="354" uniqueCount="41">
  <si>
    <t>BR</t>
  </si>
  <si>
    <t>Radnih dana</t>
  </si>
  <si>
    <t>Ime i prezime</t>
  </si>
  <si>
    <t>Izveštaj sastavio: _________________________________</t>
  </si>
  <si>
    <r>
      <rPr>
        <sz val="12"/>
        <color theme="1"/>
        <rFont val="Georgia"/>
        <family val="1"/>
      </rPr>
      <t>Tunel</t>
    </r>
    <r>
      <rPr>
        <b/>
        <sz val="12"/>
        <color theme="1"/>
        <rFont val="Georgia"/>
        <family val="1"/>
      </rPr>
      <t xml:space="preserve"> Kvanj</t>
    </r>
  </si>
  <si>
    <t>Betonska baza - Kvanj</t>
  </si>
  <si>
    <t>mesec:</t>
  </si>
  <si>
    <t>decembar</t>
  </si>
  <si>
    <t>godina:</t>
  </si>
  <si>
    <t>Slobodni dani</t>
  </si>
  <si>
    <t>Srđan Cvijović</t>
  </si>
  <si>
    <t>Slaviša Jovičić</t>
  </si>
  <si>
    <t>Behmen</t>
  </si>
  <si>
    <t>Firzet</t>
  </si>
  <si>
    <t>Pozicija</t>
  </si>
  <si>
    <t>operater na bazi</t>
  </si>
  <si>
    <t>pomoćni radnik</t>
  </si>
  <si>
    <t>vagar</t>
  </si>
  <si>
    <t>vozač - UTOVARIVAČ</t>
  </si>
  <si>
    <t>vozač - MIKSER</t>
  </si>
  <si>
    <t>Aner Mrgan</t>
  </si>
  <si>
    <t>Danko Perić</t>
  </si>
  <si>
    <t>Radivoje Gordić</t>
  </si>
  <si>
    <t>Nikola Kovačević</t>
  </si>
  <si>
    <t>Mirnel Koso</t>
  </si>
  <si>
    <t>Seldin Selman</t>
  </si>
  <si>
    <t>Denis Marković</t>
  </si>
  <si>
    <t>Mile Vucina</t>
  </si>
  <si>
    <t>Marko Radišić</t>
  </si>
  <si>
    <t>UTOVARIVAC</t>
  </si>
  <si>
    <t>vozac Miksera</t>
  </si>
  <si>
    <t>Drazen Proleta</t>
  </si>
  <si>
    <t>JANUAR</t>
  </si>
  <si>
    <t xml:space="preserve"> vozac</t>
  </si>
  <si>
    <t>MEHANIZACIJA</t>
  </si>
  <si>
    <t>P</t>
  </si>
  <si>
    <t>X</t>
  </si>
  <si>
    <t>S</t>
  </si>
  <si>
    <t>B</t>
  </si>
  <si>
    <t>Dragan Roguz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</si>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</sst>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i/>
      <sz val="11"/>
      <color theme="1"/>
      <name val="Arial Narrow"/>
      <family val="2"/>
    </font>
    <font>
      <b/>
      <sz val="14"/>
      <color rgb="FF99CCFF"/>
      <name val="Arial Narrow"/>
      <family val="2"/>
    </font>
    <font>
      <sz val="10"/>
      <color theme="1"/>
      <name val="Segoe UI"/>
      <family val="2"/>
    </font>
    <font>
      <sz val="11"/>
      <color theme="1"/>
      <name val="Segoe UI"/>
      <family val="2"/>
    </font>
    <font>
      <sz val="12"/>
      <color theme="1"/>
      <name val="Segoe Semibold"/>
      <family val="2"/>
    </font>
    <font>
      <b/>
      <sz val="12"/>
      <color theme="1"/>
      <name val="Georgia"/>
      <family val="1"/>
    </font>
    <font>
      <sz val="12"/>
      <color theme="1"/>
      <name val="Georgia"/>
      <family val="1"/>
    </font>
    <font>
      <sz val="18"/>
      <color theme="1"/>
      <name val="Georgia"/>
      <family val="1"/>
    </font>
    <font>
      <b/>
      <sz val="16"/>
      <color theme="1"/>
      <name val="Georgia"/>
      <family val="1"/>
    </font>
    <font>
      <sz val="12"/>
      <name val="Arial Narrow"/>
      <family val="2"/>
    </font>
    <font>
      <b/>
      <i/>
      <sz val="14"/>
      <name val="Arial Narrow"/>
      <family val="2"/>
    </font>
    <font>
      <sz val="14"/>
      <name val="Calibri"/>
      <family val="2"/>
      <scheme val="minor"/>
    </font>
    <font>
      <sz val="11"/>
      <color rgb="FF9C0006"/>
      <name val="Calibri"/>
      <family val="2"/>
      <charset val="238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</fills>
  <borders count="5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dotted">
        <color indexed="64"/>
      </right>
      <top style="thin">
        <color indexed="64"/>
      </top>
      <bottom/>
      <diagonal/>
    </border>
    <border>
      <left style="hair">
        <color indexed="64"/>
      </left>
      <right style="dotted">
        <color indexed="64"/>
      </right>
      <top/>
      <bottom style="medium">
        <color indexed="64"/>
      </bottom>
      <diagonal/>
    </border>
    <border>
      <left style="hair">
        <color indexed="64"/>
      </left>
      <right style="dotted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7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38">
    <xf numFmtId="0" fontId="0" fillId="0" borderId="0" xfId="0"/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4" xfId="0" applyFill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9" fillId="0" borderId="2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top"/>
    </xf>
    <xf numFmtId="0" fontId="9" fillId="3" borderId="3" xfId="0" applyFont="1" applyFill="1" applyBorder="1" applyAlignment="1">
      <alignment horizontal="center" vertical="top"/>
    </xf>
    <xf numFmtId="0" fontId="9" fillId="3" borderId="8" xfId="0" applyFont="1" applyFill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9" fillId="3" borderId="9" xfId="0" applyFont="1" applyFill="1" applyBorder="1" applyAlignment="1">
      <alignment horizontal="center" vertical="top"/>
    </xf>
    <xf numFmtId="0" fontId="9" fillId="0" borderId="30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9" fillId="0" borderId="37" xfId="0" applyFont="1" applyBorder="1" applyAlignment="1">
      <alignment horizontal="center" vertical="top"/>
    </xf>
    <xf numFmtId="0" fontId="9" fillId="3" borderId="37" xfId="0" applyFont="1" applyFill="1" applyBorder="1" applyAlignment="1">
      <alignment horizontal="center" vertical="top"/>
    </xf>
    <xf numFmtId="0" fontId="0" fillId="3" borderId="30" xfId="0" applyFill="1" applyBorder="1" applyAlignment="1">
      <alignment horizontal="center"/>
    </xf>
    <xf numFmtId="0" fontId="8" fillId="3" borderId="14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5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3" fillId="2" borderId="40" xfId="0" applyFont="1" applyFill="1" applyBorder="1" applyAlignment="1">
      <alignment horizontal="center" vertical="center"/>
    </xf>
    <xf numFmtId="0" fontId="9" fillId="0" borderId="51" xfId="0" applyFont="1" applyBorder="1" applyAlignment="1">
      <alignment horizontal="center" vertical="top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9" fillId="3" borderId="51" xfId="0" applyFont="1" applyFill="1" applyBorder="1" applyAlignment="1">
      <alignment horizontal="center" vertical="top"/>
    </xf>
    <xf numFmtId="0" fontId="0" fillId="3" borderId="27" xfId="0" applyFill="1" applyBorder="1" applyAlignment="1">
      <alignment horizontal="left"/>
    </xf>
    <xf numFmtId="0" fontId="9" fillId="3" borderId="2" xfId="0" applyFont="1" applyFill="1" applyBorder="1" applyAlignment="1">
      <alignment horizontal="center" vertical="top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10" fillId="3" borderId="0" xfId="0" applyFont="1" applyFill="1" applyAlignment="1">
      <alignment horizontal="left" vertical="center"/>
    </xf>
    <xf numFmtId="0" fontId="12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8" fillId="0" borderId="0" xfId="0" applyFont="1"/>
    <xf numFmtId="0" fontId="2" fillId="5" borderId="0" xfId="2"/>
    <xf numFmtId="0" fontId="2" fillId="5" borderId="5" xfId="2" applyBorder="1" applyAlignment="1">
      <alignment horizontal="center" vertical="center"/>
    </xf>
    <xf numFmtId="0" fontId="1" fillId="7" borderId="5" xfId="4" applyBorder="1" applyAlignment="1">
      <alignment horizontal="center" vertical="center"/>
    </xf>
    <xf numFmtId="0" fontId="17" fillId="4" borderId="5" xfId="1" applyBorder="1" applyAlignment="1">
      <alignment horizontal="center" vertical="center"/>
    </xf>
    <xf numFmtId="0" fontId="1" fillId="7" borderId="0" xfId="4" applyAlignment="1">
      <alignment vertical="center"/>
    </xf>
    <xf numFmtId="0" fontId="1" fillId="6" borderId="5" xfId="3" applyBorder="1" applyAlignment="1">
      <alignment horizontal="center" vertical="center"/>
    </xf>
    <xf numFmtId="0" fontId="1" fillId="6" borderId="6" xfId="3" applyBorder="1" applyAlignment="1">
      <alignment horizontal="center" vertical="center"/>
    </xf>
    <xf numFmtId="0" fontId="15" fillId="3" borderId="56" xfId="0" applyFont="1" applyFill="1" applyBorder="1" applyAlignment="1">
      <alignment horizontal="center" vertical="center"/>
    </xf>
    <xf numFmtId="0" fontId="15" fillId="3" borderId="57" xfId="0" applyFont="1" applyFill="1" applyBorder="1" applyAlignment="1">
      <alignment horizontal="center" vertical="center"/>
    </xf>
    <xf numFmtId="0" fontId="15" fillId="0" borderId="56" xfId="0" applyFont="1" applyBorder="1" applyAlignment="1">
      <alignment horizontal="center" vertical="center"/>
    </xf>
    <xf numFmtId="0" fontId="15" fillId="0" borderId="58" xfId="0" applyFont="1" applyBorder="1" applyAlignment="1">
      <alignment horizontal="center" vertical="center"/>
    </xf>
    <xf numFmtId="0" fontId="15" fillId="3" borderId="43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3" borderId="48" xfId="0" applyFont="1" applyFill="1" applyBorder="1" applyAlignment="1">
      <alignment horizontal="center" vertical="center"/>
    </xf>
    <xf numFmtId="0" fontId="14" fillId="3" borderId="47" xfId="0" applyFont="1" applyFill="1" applyBorder="1" applyAlignment="1">
      <alignment horizontal="center" vertical="center"/>
    </xf>
    <xf numFmtId="0" fontId="14" fillId="3" borderId="49" xfId="0" applyFont="1" applyFill="1" applyBorder="1" applyAlignment="1">
      <alignment horizontal="center" vertical="center"/>
    </xf>
    <xf numFmtId="0" fontId="14" fillId="3" borderId="50" xfId="0" applyFont="1" applyFill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5" fillId="3" borderId="42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15" fillId="3" borderId="41" xfId="0" applyFont="1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0" fontId="15" fillId="3" borderId="45" xfId="0" applyFont="1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14" fillId="3" borderId="46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5" fillId="3" borderId="44" xfId="0" applyFont="1" applyFill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right" vertical="center"/>
    </xf>
    <xf numFmtId="0" fontId="16" fillId="3" borderId="56" xfId="0" applyFont="1" applyFill="1" applyBorder="1" applyAlignment="1">
      <alignment horizontal="center"/>
    </xf>
    <xf numFmtId="0" fontId="16" fillId="3" borderId="57" xfId="0" applyFont="1" applyFill="1" applyBorder="1" applyAlignment="1">
      <alignment horizontal="center"/>
    </xf>
    <xf numFmtId="0" fontId="16" fillId="3" borderId="58" xfId="0" applyFont="1" applyFill="1" applyBorder="1" applyAlignment="1">
      <alignment horizontal="center"/>
    </xf>
    <xf numFmtId="0" fontId="16" fillId="0" borderId="56" xfId="0" applyFont="1" applyBorder="1" applyAlignment="1">
      <alignment horizontal="center"/>
    </xf>
    <xf numFmtId="0" fontId="16" fillId="0" borderId="58" xfId="0" applyFont="1" applyBorder="1" applyAlignment="1">
      <alignment horizontal="center"/>
    </xf>
  </cellXfs>
  <cellStyles count="5">
    <cellStyle name="20% - Accent1" xfId="2" builtinId="30"/>
    <cellStyle name="40% - Accent2" xfId="4" builtinId="35"/>
    <cellStyle name="60% - Accent1" xfId="3" builtinId="32"/>
    <cellStyle name="Bad" xfId="1" builtinId="27"/>
    <cellStyle name="Normal" xfId="0" builtinId="0"/>
  </cellStyles>
  <dxfs count="0"/>
  <tableStyles count="0" defaultTableStyle="TableStyleMedium9" defaultPivotStyle="PivotStyleLight16"/>
  <colors>
    <mruColors>
      <color rgb="FF99CCFF"/>
      <color rgb="FFCCFF99"/>
      <color rgb="FFFFFF99"/>
      <color rgb="FFCCECFF"/>
      <color rgb="FF99FF99"/>
      <color rgb="FFFFCCFF"/>
      <color rgb="FFFFCC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139701</xdr:colOff>
      <xdr:row>0</xdr:row>
      <xdr:rowOff>0</xdr:rowOff>
    </xdr:from>
    <xdr:to>
      <xdr:col>1</xdr:col>
      <xdr:colOff>1953261</xdr:colOff>
      <xdr:row>1</xdr:row>
      <xdr:rowOff>292100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C83625-5745-4CF6-8CD8-3DE49613F1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91" t="37620" r="22624" b="37428"/>
        <a:stretch/>
      </xdr:blipFill>
      <xdr:spPr>
        <a:xfrm>
          <a:off x="419101" y="0"/>
          <a:ext cx="1813560" cy="577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139701</xdr:colOff>
      <xdr:row>0</xdr:row>
      <xdr:rowOff>0</xdr:rowOff>
    </xdr:from>
    <xdr:to>
      <xdr:col>1</xdr:col>
      <xdr:colOff>1953261</xdr:colOff>
      <xdr:row>1</xdr:row>
      <xdr:rowOff>292100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6241A3-2DD3-4302-AF8C-CB0B907C16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91" t="37620" r="22624" b="37428"/>
        <a:stretch/>
      </xdr:blipFill>
      <xdr:spPr>
        <a:xfrm>
          <a:off x="419101" y="0"/>
          <a:ext cx="1813560" cy="57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45"/>
  <sheetViews>
    <sheetView tabSelected="1" view="pageBreakPreview" zoomScaleSheetLayoutView="100" workbookViewId="0">
      <selection activeCell="AH24" sqref="AH24"/>
    </sheetView>
  </sheetViews>
  <sheetFormatPr defaultRowHeight="15"/>
  <cols>
    <col min="1" max="1" width="4" style="1" customWidth="1"/>
    <col min="2" max="2" width="37.42578125" customWidth="1"/>
    <col min="3" max="3" width="23.85546875" customWidth="1"/>
    <col min="4" max="33" width="3" style="1" customWidth="1"/>
    <col min="34" max="34" width="3.7109375" style="1" customWidth="1"/>
    <col min="35" max="36" width="10.85546875" customWidth="1"/>
  </cols>
  <sheetData>
    <row r="1" spans="1:40" ht="22.5" customHeight="1">
      <c r="A1" s="125"/>
      <c r="B1" s="125"/>
      <c r="C1" s="52"/>
      <c r="D1" s="68" t="s">
        <v>4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70" t="s">
        <v>8</v>
      </c>
      <c r="W1" s="69"/>
      <c r="X1" s="70"/>
      <c r="Y1" s="131">
        <v>2026</v>
      </c>
      <c r="Z1" s="131"/>
      <c r="AA1" s="131"/>
      <c r="AB1" s="131"/>
      <c r="AC1" s="69"/>
      <c r="AD1" s="132" t="s">
        <v>6</v>
      </c>
      <c r="AE1" s="132"/>
      <c r="AF1" s="132"/>
      <c r="AG1" s="131" t="s">
        <v>32</v>
      </c>
      <c r="AH1" s="131"/>
      <c r="AI1" s="131"/>
      <c r="AJ1" s="131"/>
    </row>
    <row r="2" spans="1:40" ht="26.25" customHeight="1" thickBot="1">
      <c r="B2" s="28"/>
      <c r="C2" s="28"/>
      <c r="D2" s="130" t="s">
        <v>34</v>
      </c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35"/>
      <c r="AJ2" s="36"/>
    </row>
    <row r="3" spans="1:40" ht="21.75" customHeight="1" thickBot="1">
      <c r="A3" s="3" t="s">
        <v>0</v>
      </c>
      <c r="B3" s="5" t="s">
        <v>2</v>
      </c>
      <c r="C3" s="57" t="s">
        <v>14</v>
      </c>
      <c r="D3" s="3">
        <v>1</v>
      </c>
      <c r="E3" s="4">
        <v>2</v>
      </c>
      <c r="F3" s="77">
        <v>3</v>
      </c>
      <c r="G3" s="74">
        <v>4</v>
      </c>
      <c r="H3" s="4">
        <v>5</v>
      </c>
      <c r="I3" s="73">
        <v>6</v>
      </c>
      <c r="J3" s="73">
        <v>7</v>
      </c>
      <c r="K3" s="4">
        <v>8</v>
      </c>
      <c r="L3" s="4">
        <v>9</v>
      </c>
      <c r="M3" s="77">
        <v>10</v>
      </c>
      <c r="N3" s="75">
        <v>11</v>
      </c>
      <c r="O3" s="4">
        <v>12</v>
      </c>
      <c r="P3" s="73">
        <v>13</v>
      </c>
      <c r="Q3" s="73">
        <v>14</v>
      </c>
      <c r="R3" s="4">
        <v>15</v>
      </c>
      <c r="S3" s="4">
        <v>16</v>
      </c>
      <c r="T3" s="77">
        <v>17</v>
      </c>
      <c r="U3" s="75">
        <v>18</v>
      </c>
      <c r="V3" s="4">
        <v>19</v>
      </c>
      <c r="W3" s="73">
        <v>20</v>
      </c>
      <c r="X3" s="73">
        <v>21</v>
      </c>
      <c r="Y3" s="4">
        <v>22</v>
      </c>
      <c r="Z3" s="4">
        <v>23</v>
      </c>
      <c r="AA3" s="77">
        <v>24</v>
      </c>
      <c r="AB3" s="76">
        <v>25</v>
      </c>
      <c r="AC3" s="4">
        <v>26</v>
      </c>
      <c r="AD3" s="73">
        <v>27</v>
      </c>
      <c r="AE3" s="73">
        <v>28</v>
      </c>
      <c r="AF3" s="4">
        <v>29</v>
      </c>
      <c r="AG3" s="4">
        <v>30</v>
      </c>
      <c r="AH3" s="78">
        <v>31</v>
      </c>
      <c r="AI3" s="7" t="s">
        <v>1</v>
      </c>
      <c r="AJ3" s="8" t="s">
        <v>9</v>
      </c>
    </row>
    <row r="4" spans="1:40" ht="14.25" customHeight="1">
      <c r="A4" s="38">
        <v>1</v>
      </c>
      <c r="B4" s="122" t="s">
        <v>25</v>
      </c>
      <c r="C4" s="124" t="s">
        <v>29</v>
      </c>
      <c r="D4" s="9" t="s">
        <v>35</v>
      </c>
      <c r="E4" s="10" t="s">
        <v>35</v>
      </c>
      <c r="F4" s="10" t="s">
        <v>35</v>
      </c>
      <c r="G4" s="10" t="s">
        <v>35</v>
      </c>
      <c r="H4" s="10" t="s">
        <v>36</v>
      </c>
      <c r="I4" s="10" t="s">
        <v>36</v>
      </c>
      <c r="J4" s="10" t="s">
        <v>36</v>
      </c>
      <c r="K4" s="10" t="s">
        <v>36</v>
      </c>
      <c r="L4" s="10" t="s">
        <v>36</v>
      </c>
      <c r="M4" s="10" t="s">
        <v>37</v>
      </c>
      <c r="N4" s="10" t="s">
        <v>37</v>
      </c>
      <c r="O4" s="10" t="s">
        <v>37</v>
      </c>
      <c r="P4" s="10" t="s">
        <v>37</v>
      </c>
      <c r="Q4" s="10" t="s">
        <v>37</v>
      </c>
      <c r="R4" s="10" t="s">
        <v>36</v>
      </c>
      <c r="S4" s="10" t="s">
        <v>36</v>
      </c>
      <c r="T4" s="10" t="s">
        <v>36</v>
      </c>
      <c r="U4" s="10" t="s">
        <v>36</v>
      </c>
      <c r="V4" s="10" t="s">
        <v>36</v>
      </c>
      <c r="W4" s="10" t="s">
        <v>36</v>
      </c>
      <c r="X4" s="10" t="s">
        <v>36</v>
      </c>
      <c r="Y4" s="10" t="s">
        <v>36</v>
      </c>
      <c r="Z4" s="10" t="s">
        <v>36</v>
      </c>
      <c r="AA4" s="10" t="s">
        <v>36</v>
      </c>
      <c r="AB4" s="10" t="s">
        <v>37</v>
      </c>
      <c r="AC4" s="10" t="s">
        <v>37</v>
      </c>
      <c r="AD4" s="10" t="s">
        <v>37</v>
      </c>
      <c r="AE4" s="10" t="s">
        <v>37</v>
      </c>
      <c r="AF4" s="10" t="s">
        <v>37</v>
      </c>
      <c r="AG4" s="10" t="s">
        <v>36</v>
      </c>
      <c r="AH4" s="11" t="s">
        <v>36</v>
      </c>
      <c r="AI4" s="126">
        <f>COUNTIF(D4:AH5,"x")</f>
        <v>17</v>
      </c>
      <c r="AJ4" s="128">
        <f>COUNTIF(D4:AH5,"s")</f>
        <v>10</v>
      </c>
    </row>
    <row r="5" spans="1:40" ht="14.25" customHeight="1">
      <c r="A5" s="39"/>
      <c r="B5" s="104"/>
      <c r="C5" s="95"/>
      <c r="D5" s="12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13"/>
      <c r="AI5" s="127"/>
      <c r="AJ5" s="129"/>
    </row>
    <row r="6" spans="1:40" ht="14.25" customHeight="1">
      <c r="A6" s="40">
        <v>2</v>
      </c>
      <c r="B6" s="83" t="s">
        <v>27</v>
      </c>
      <c r="C6" s="96" t="s">
        <v>29</v>
      </c>
      <c r="D6" s="21" t="s">
        <v>35</v>
      </c>
      <c r="E6" s="22" t="s">
        <v>35</v>
      </c>
      <c r="F6" s="22" t="s">
        <v>35</v>
      </c>
      <c r="G6" s="22" t="s">
        <v>35</v>
      </c>
      <c r="H6" s="22" t="s">
        <v>36</v>
      </c>
      <c r="I6" s="22" t="s">
        <v>36</v>
      </c>
      <c r="J6" s="22" t="s">
        <v>36</v>
      </c>
      <c r="K6" s="22" t="s">
        <v>36</v>
      </c>
      <c r="L6" s="22" t="s">
        <v>36</v>
      </c>
      <c r="M6" s="22" t="s">
        <v>36</v>
      </c>
      <c r="N6" s="22" t="s">
        <v>36</v>
      </c>
      <c r="O6" s="22" t="s">
        <v>36</v>
      </c>
      <c r="P6" s="22" t="s">
        <v>36</v>
      </c>
      <c r="Q6" s="22" t="s">
        <v>36</v>
      </c>
      <c r="R6" s="22" t="s">
        <v>37</v>
      </c>
      <c r="S6" s="22" t="s">
        <v>37</v>
      </c>
      <c r="T6" s="22" t="s">
        <v>37</v>
      </c>
      <c r="U6" s="22" t="s">
        <v>37</v>
      </c>
      <c r="V6" s="22" t="s">
        <v>37</v>
      </c>
      <c r="W6" s="22" t="s">
        <v>36</v>
      </c>
      <c r="X6" s="22" t="s">
        <v>36</v>
      </c>
      <c r="Y6" s="22" t="s">
        <v>36</v>
      </c>
      <c r="Z6" s="22" t="s">
        <v>36</v>
      </c>
      <c r="AA6" s="22" t="s">
        <v>36</v>
      </c>
      <c r="AB6" s="22" t="s">
        <v>36</v>
      </c>
      <c r="AC6" s="22" t="s">
        <v>36</v>
      </c>
      <c r="AD6" s="22" t="s">
        <v>36</v>
      </c>
      <c r="AE6" s="22" t="s">
        <v>36</v>
      </c>
      <c r="AF6" s="22" t="s">
        <v>36</v>
      </c>
      <c r="AG6" s="22" t="s">
        <v>37</v>
      </c>
      <c r="AH6" s="23" t="s">
        <v>37</v>
      </c>
      <c r="AI6" s="101">
        <f t="shared" ref="AI6" si="0">COUNTIF(D6:AH7,"x")</f>
        <v>20</v>
      </c>
      <c r="AJ6" s="102">
        <f t="shared" ref="AJ6" si="1">COUNTIF(D6:AH7,"s")</f>
        <v>7</v>
      </c>
      <c r="AM6" s="72"/>
    </row>
    <row r="7" spans="1:40" ht="14.25" customHeight="1">
      <c r="A7" s="41"/>
      <c r="B7" s="105"/>
      <c r="C7" s="97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6"/>
      <c r="AI7" s="101"/>
      <c r="AJ7" s="102"/>
      <c r="AM7" s="71"/>
    </row>
    <row r="8" spans="1:40" ht="14.25" customHeight="1">
      <c r="A8" s="45">
        <v>3</v>
      </c>
      <c r="B8" s="118" t="s">
        <v>28</v>
      </c>
      <c r="C8" s="94" t="s">
        <v>29</v>
      </c>
      <c r="D8" s="14" t="s">
        <v>35</v>
      </c>
      <c r="E8" s="15" t="s">
        <v>35</v>
      </c>
      <c r="F8" s="15" t="s">
        <v>35</v>
      </c>
      <c r="G8" s="15" t="s">
        <v>35</v>
      </c>
      <c r="H8" s="15" t="s">
        <v>37</v>
      </c>
      <c r="I8" s="15" t="s">
        <v>37</v>
      </c>
      <c r="J8" s="15" t="s">
        <v>37</v>
      </c>
      <c r="K8" s="15" t="s">
        <v>37</v>
      </c>
      <c r="L8" s="15" t="s">
        <v>37</v>
      </c>
      <c r="M8" s="15" t="s">
        <v>38</v>
      </c>
      <c r="N8" s="15" t="s">
        <v>38</v>
      </c>
      <c r="O8" s="15" t="s">
        <v>38</v>
      </c>
      <c r="P8" s="15" t="s">
        <v>38</v>
      </c>
      <c r="Q8" s="15" t="s">
        <v>38</v>
      </c>
      <c r="R8" s="15" t="s">
        <v>38</v>
      </c>
      <c r="S8" s="15" t="s">
        <v>38</v>
      </c>
      <c r="T8" s="15" t="s">
        <v>38</v>
      </c>
      <c r="U8" s="15" t="s">
        <v>38</v>
      </c>
      <c r="V8" s="15" t="s">
        <v>38</v>
      </c>
      <c r="W8" s="15" t="s">
        <v>37</v>
      </c>
      <c r="X8" s="15" t="s">
        <v>37</v>
      </c>
      <c r="Y8" s="15" t="s">
        <v>37</v>
      </c>
      <c r="Z8" s="15" t="s">
        <v>37</v>
      </c>
      <c r="AA8" s="15" t="s">
        <v>37</v>
      </c>
      <c r="AB8" s="15" t="s">
        <v>36</v>
      </c>
      <c r="AC8" s="15" t="s">
        <v>36</v>
      </c>
      <c r="AD8" s="15" t="s">
        <v>36</v>
      </c>
      <c r="AE8" s="15" t="s">
        <v>36</v>
      </c>
      <c r="AF8" s="15" t="s">
        <v>36</v>
      </c>
      <c r="AG8" s="15" t="s">
        <v>36</v>
      </c>
      <c r="AH8" s="16" t="s">
        <v>36</v>
      </c>
      <c r="AI8" s="106">
        <f t="shared" ref="AI8" si="2">COUNTIF(D8:AH9,"x")</f>
        <v>7</v>
      </c>
      <c r="AJ8" s="107">
        <f t="shared" ref="AJ8" si="3">COUNTIF(D8:AH9,"s")</f>
        <v>10</v>
      </c>
      <c r="AM8" s="71"/>
    </row>
    <row r="9" spans="1:40" ht="14.25" customHeight="1" thickBot="1">
      <c r="A9" s="58"/>
      <c r="B9" s="119"/>
      <c r="C9" s="100"/>
      <c r="D9" s="59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1"/>
      <c r="AI9" s="120"/>
      <c r="AJ9" s="117"/>
    </row>
    <row r="10" spans="1:40" ht="14.25" customHeight="1">
      <c r="A10" s="40">
        <v>4</v>
      </c>
      <c r="B10" s="83" t="s">
        <v>20</v>
      </c>
      <c r="C10" s="99" t="s">
        <v>33</v>
      </c>
      <c r="D10" s="2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3"/>
      <c r="AI10" s="93">
        <f t="shared" ref="AI10" si="4">COUNTIF(D10:AH11,"x")</f>
        <v>0</v>
      </c>
      <c r="AJ10" s="90">
        <f t="shared" ref="AJ10" si="5">COUNTIF(D10:AH11,"s")</f>
        <v>0</v>
      </c>
      <c r="AN10" s="72"/>
    </row>
    <row r="11" spans="1:40" ht="14.25" customHeight="1">
      <c r="A11" s="41"/>
      <c r="B11" s="105"/>
      <c r="C11" s="97"/>
      <c r="D11" s="24"/>
      <c r="E11" s="25"/>
      <c r="F11" s="25"/>
      <c r="G11" s="25"/>
      <c r="H11" s="27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6"/>
      <c r="AI11" s="101"/>
      <c r="AJ11" s="102"/>
    </row>
    <row r="12" spans="1:40" ht="14.25" customHeight="1">
      <c r="A12" s="42">
        <f>A10+1</f>
        <v>5</v>
      </c>
      <c r="B12" s="103" t="s">
        <v>31</v>
      </c>
      <c r="C12" s="94" t="s">
        <v>30</v>
      </c>
      <c r="D12" s="18" t="s">
        <v>35</v>
      </c>
      <c r="E12" s="2" t="s">
        <v>35</v>
      </c>
      <c r="F12" s="2" t="s">
        <v>35</v>
      </c>
      <c r="G12" s="2" t="s">
        <v>35</v>
      </c>
      <c r="H12" s="2" t="s">
        <v>36</v>
      </c>
      <c r="I12" s="2" t="s">
        <v>36</v>
      </c>
      <c r="J12" s="2" t="s">
        <v>36</v>
      </c>
      <c r="K12" s="2" t="s">
        <v>36</v>
      </c>
      <c r="L12" s="2" t="s">
        <v>36</v>
      </c>
      <c r="M12" s="2" t="s">
        <v>37</v>
      </c>
      <c r="N12" s="2" t="s">
        <v>37</v>
      </c>
      <c r="O12" s="2" t="s">
        <v>37</v>
      </c>
      <c r="P12" s="2" t="s">
        <v>37</v>
      </c>
      <c r="Q12" s="2" t="s">
        <v>37</v>
      </c>
      <c r="R12" s="2" t="s">
        <v>36</v>
      </c>
      <c r="S12" s="2" t="s">
        <v>36</v>
      </c>
      <c r="T12" s="2" t="s">
        <v>36</v>
      </c>
      <c r="U12" s="2" t="s">
        <v>36</v>
      </c>
      <c r="V12" s="2" t="s">
        <v>36</v>
      </c>
      <c r="W12" s="2" t="s">
        <v>36</v>
      </c>
      <c r="X12" s="2" t="s">
        <v>36</v>
      </c>
      <c r="Y12" s="2" t="s">
        <v>36</v>
      </c>
      <c r="Z12" s="2" t="s">
        <v>36</v>
      </c>
      <c r="AA12" s="2" t="s">
        <v>36</v>
      </c>
      <c r="AB12" s="2" t="s">
        <v>37</v>
      </c>
      <c r="AC12" s="2" t="s">
        <v>37</v>
      </c>
      <c r="AD12" s="2" t="s">
        <v>37</v>
      </c>
      <c r="AE12" s="2" t="s">
        <v>37</v>
      </c>
      <c r="AF12" s="2" t="s">
        <v>37</v>
      </c>
      <c r="AG12" s="2" t="s">
        <v>36</v>
      </c>
      <c r="AH12" s="19" t="s">
        <v>36</v>
      </c>
      <c r="AI12" s="106">
        <f t="shared" ref="AI12" si="6">COUNTIF(D12:AH13,"x")</f>
        <v>17</v>
      </c>
      <c r="AJ12" s="107">
        <f t="shared" ref="AJ12" si="7">COUNTIF(D12:AH13,"s")</f>
        <v>10</v>
      </c>
    </row>
    <row r="13" spans="1:40" ht="14.25" customHeight="1">
      <c r="A13" s="39"/>
      <c r="B13" s="104"/>
      <c r="C13" s="95"/>
      <c r="D13" s="12"/>
      <c r="E13" s="6"/>
      <c r="F13" s="6"/>
      <c r="G13" s="6"/>
      <c r="H13" s="6">
        <v>12</v>
      </c>
      <c r="I13" s="6">
        <v>2</v>
      </c>
      <c r="J13" s="6">
        <v>10</v>
      </c>
      <c r="K13" s="6"/>
      <c r="L13" s="6"/>
      <c r="M13" s="6">
        <v>3</v>
      </c>
      <c r="N13" s="6"/>
      <c r="O13" s="6">
        <v>9</v>
      </c>
      <c r="P13" s="17">
        <v>10</v>
      </c>
      <c r="Q13" s="6">
        <v>7</v>
      </c>
      <c r="R13" s="6">
        <v>12</v>
      </c>
      <c r="S13" s="6"/>
      <c r="T13" s="6"/>
      <c r="U13" s="6"/>
      <c r="V13" s="6">
        <v>2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13"/>
      <c r="AI13" s="106"/>
      <c r="AJ13" s="107"/>
      <c r="AN13" s="71"/>
    </row>
    <row r="14" spans="1:40" ht="14.25" customHeight="1">
      <c r="A14" s="43">
        <v>6</v>
      </c>
      <c r="B14" s="121" t="s">
        <v>21</v>
      </c>
      <c r="C14" s="96" t="s">
        <v>30</v>
      </c>
      <c r="D14" s="29" t="s">
        <v>35</v>
      </c>
      <c r="E14" s="30" t="s">
        <v>35</v>
      </c>
      <c r="F14" s="30" t="s">
        <v>35</v>
      </c>
      <c r="G14" s="30" t="s">
        <v>35</v>
      </c>
      <c r="H14" s="30" t="s">
        <v>36</v>
      </c>
      <c r="I14" s="30" t="s">
        <v>36</v>
      </c>
      <c r="J14" s="30" t="s">
        <v>36</v>
      </c>
      <c r="K14" s="30" t="s">
        <v>36</v>
      </c>
      <c r="L14" s="30" t="s">
        <v>36</v>
      </c>
      <c r="M14" s="30" t="s">
        <v>37</v>
      </c>
      <c r="N14" s="30" t="s">
        <v>37</v>
      </c>
      <c r="O14" s="30" t="s">
        <v>37</v>
      </c>
      <c r="P14" s="30" t="s">
        <v>37</v>
      </c>
      <c r="Q14" s="30" t="s">
        <v>37</v>
      </c>
      <c r="R14" s="30" t="s">
        <v>36</v>
      </c>
      <c r="S14" s="30" t="s">
        <v>36</v>
      </c>
      <c r="T14" s="30" t="s">
        <v>36</v>
      </c>
      <c r="U14" s="30" t="s">
        <v>36</v>
      </c>
      <c r="V14" s="30" t="s">
        <v>36</v>
      </c>
      <c r="W14" s="30" t="s">
        <v>36</v>
      </c>
      <c r="X14" s="30" t="s">
        <v>36</v>
      </c>
      <c r="Y14" s="30" t="s">
        <v>36</v>
      </c>
      <c r="Z14" s="30" t="s">
        <v>36</v>
      </c>
      <c r="AA14" s="30" t="s">
        <v>36</v>
      </c>
      <c r="AB14" s="30" t="s">
        <v>37</v>
      </c>
      <c r="AC14" s="30" t="s">
        <v>37</v>
      </c>
      <c r="AD14" s="30" t="s">
        <v>37</v>
      </c>
      <c r="AE14" s="30" t="s">
        <v>37</v>
      </c>
      <c r="AF14" s="30" t="s">
        <v>37</v>
      </c>
      <c r="AG14" s="30" t="s">
        <v>36</v>
      </c>
      <c r="AH14" s="31" t="s">
        <v>36</v>
      </c>
      <c r="AI14" s="101">
        <f t="shared" ref="AI14" si="8">COUNTIF(D14:AH15,"x")</f>
        <v>17</v>
      </c>
      <c r="AJ14" s="102">
        <f t="shared" ref="AJ14" si="9">COUNTIF(D14:AH15,"s")</f>
        <v>10</v>
      </c>
    </row>
    <row r="15" spans="1:40" ht="14.25" customHeight="1" thickBot="1">
      <c r="A15" s="62"/>
      <c r="B15" s="112"/>
      <c r="C15" s="98"/>
      <c r="D15" s="54"/>
      <c r="E15" s="55"/>
      <c r="F15" s="55"/>
      <c r="G15" s="55"/>
      <c r="H15" s="63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6"/>
      <c r="AI15" s="113"/>
      <c r="AJ15" s="114"/>
    </row>
    <row r="16" spans="1:40" ht="14.25" customHeight="1">
      <c r="A16" s="38">
        <f>A14+1</f>
        <v>7</v>
      </c>
      <c r="B16" s="122" t="s">
        <v>23</v>
      </c>
      <c r="C16" s="124" t="s">
        <v>30</v>
      </c>
      <c r="D16" s="9" t="s">
        <v>35</v>
      </c>
      <c r="E16" s="10" t="s">
        <v>35</v>
      </c>
      <c r="F16" s="10" t="s">
        <v>35</v>
      </c>
      <c r="G16" s="10" t="s">
        <v>35</v>
      </c>
      <c r="H16" s="10" t="s">
        <v>37</v>
      </c>
      <c r="I16" s="10" t="s">
        <v>37</v>
      </c>
      <c r="J16" s="10" t="s">
        <v>37</v>
      </c>
      <c r="K16" s="10" t="s">
        <v>37</v>
      </c>
      <c r="L16" s="10">
        <v>5</v>
      </c>
      <c r="M16" s="10">
        <v>10</v>
      </c>
      <c r="N16" s="10">
        <v>12</v>
      </c>
      <c r="O16" s="10">
        <v>10</v>
      </c>
      <c r="P16" s="10">
        <v>10</v>
      </c>
      <c r="Q16" s="10">
        <v>10</v>
      </c>
      <c r="R16" s="10">
        <v>10</v>
      </c>
      <c r="S16" s="10">
        <v>10</v>
      </c>
      <c r="T16" s="10">
        <v>10</v>
      </c>
      <c r="U16" s="10" t="s">
        <v>37</v>
      </c>
      <c r="V16" s="10">
        <v>10</v>
      </c>
      <c r="W16" s="10">
        <v>10</v>
      </c>
      <c r="X16" s="10">
        <v>10</v>
      </c>
      <c r="Y16" s="10">
        <v>10</v>
      </c>
      <c r="Z16" s="10">
        <v>10</v>
      </c>
      <c r="AA16" s="10">
        <v>10</v>
      </c>
      <c r="AB16" s="10" t="s">
        <v>37</v>
      </c>
      <c r="AC16" s="10">
        <v>10</v>
      </c>
      <c r="AD16" s="10">
        <v>10</v>
      </c>
      <c r="AE16" s="10">
        <v>10</v>
      </c>
      <c r="AF16" s="10">
        <v>10</v>
      </c>
      <c r="AG16" s="10">
        <v>10</v>
      </c>
      <c r="AH16" s="11" t="s">
        <v>37</v>
      </c>
      <c r="AI16" s="123">
        <f t="shared" ref="AI16" si="10">COUNTIF(D16:AH17,"x")</f>
        <v>0</v>
      </c>
      <c r="AJ16" s="116">
        <f t="shared" ref="AJ16" si="11">COUNTIF(D16:AH17,"s")</f>
        <v>7</v>
      </c>
    </row>
    <row r="17" spans="1:36" ht="14.25" customHeight="1" thickBot="1">
      <c r="A17" s="58"/>
      <c r="B17" s="119"/>
      <c r="C17" s="100"/>
      <c r="D17" s="59"/>
      <c r="E17" s="60"/>
      <c r="F17" s="60"/>
      <c r="G17" s="60"/>
      <c r="H17" s="60"/>
      <c r="I17" s="60"/>
      <c r="J17" s="60"/>
      <c r="K17" s="60">
        <v>10</v>
      </c>
      <c r="L17" s="60"/>
      <c r="M17" s="60"/>
      <c r="N17" s="60"/>
      <c r="O17" s="60">
        <v>2</v>
      </c>
      <c r="P17" s="60">
        <v>2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1"/>
      <c r="AI17" s="120"/>
      <c r="AJ17" s="117"/>
    </row>
    <row r="18" spans="1:36" ht="14.25" customHeight="1">
      <c r="A18" s="64">
        <v>8</v>
      </c>
      <c r="B18" s="109" t="s">
        <v>22</v>
      </c>
      <c r="C18" s="115" t="s">
        <v>30</v>
      </c>
      <c r="D18" s="65" t="s">
        <v>35</v>
      </c>
      <c r="E18" s="66" t="s">
        <v>35</v>
      </c>
      <c r="F18" s="66" t="s">
        <v>35</v>
      </c>
      <c r="G18" s="66" t="s">
        <v>35</v>
      </c>
      <c r="H18" s="66" t="s">
        <v>37</v>
      </c>
      <c r="I18" s="66" t="s">
        <v>37</v>
      </c>
      <c r="J18" s="66" t="s">
        <v>37</v>
      </c>
      <c r="K18" s="66" t="s">
        <v>37</v>
      </c>
      <c r="L18" s="66" t="s">
        <v>37</v>
      </c>
      <c r="M18" s="66" t="s">
        <v>36</v>
      </c>
      <c r="N18" s="66" t="s">
        <v>36</v>
      </c>
      <c r="O18" s="66" t="s">
        <v>36</v>
      </c>
      <c r="P18" s="66" t="s">
        <v>36</v>
      </c>
      <c r="Q18" s="66" t="s">
        <v>36</v>
      </c>
      <c r="R18" s="66" t="s">
        <v>36</v>
      </c>
      <c r="S18" s="66" t="s">
        <v>36</v>
      </c>
      <c r="T18" s="66" t="s">
        <v>36</v>
      </c>
      <c r="U18" s="66" t="s">
        <v>36</v>
      </c>
      <c r="V18" s="66" t="s">
        <v>36</v>
      </c>
      <c r="W18" s="66" t="s">
        <v>37</v>
      </c>
      <c r="X18" s="66" t="s">
        <v>37</v>
      </c>
      <c r="Y18" s="66" t="s">
        <v>37</v>
      </c>
      <c r="Z18" s="66" t="s">
        <v>37</v>
      </c>
      <c r="AA18" s="66" t="s">
        <v>37</v>
      </c>
      <c r="AB18" s="66" t="s">
        <v>36</v>
      </c>
      <c r="AC18" s="66" t="s">
        <v>36</v>
      </c>
      <c r="AD18" s="66" t="s">
        <v>36</v>
      </c>
      <c r="AE18" s="66" t="s">
        <v>36</v>
      </c>
      <c r="AF18" s="66" t="s">
        <v>36</v>
      </c>
      <c r="AG18" s="66" t="s">
        <v>36</v>
      </c>
      <c r="AH18" s="67" t="s">
        <v>36</v>
      </c>
      <c r="AI18" s="110">
        <f t="shared" ref="AI18" si="12">COUNTIF(D18:AH19,"x")</f>
        <v>17</v>
      </c>
      <c r="AJ18" s="111">
        <f t="shared" ref="AJ18" si="13">COUNTIF(D18:AH19,"s")</f>
        <v>10</v>
      </c>
    </row>
    <row r="19" spans="1:36" ht="14.25" customHeight="1">
      <c r="A19" s="41"/>
      <c r="B19" s="105"/>
      <c r="C19" s="97"/>
      <c r="D19" s="24"/>
      <c r="E19" s="25"/>
      <c r="F19" s="25"/>
      <c r="G19" s="25"/>
      <c r="H19" s="25">
        <v>12</v>
      </c>
      <c r="I19" s="25">
        <v>6</v>
      </c>
      <c r="J19" s="25">
        <v>6</v>
      </c>
      <c r="K19" s="25">
        <v>6</v>
      </c>
      <c r="L19" s="25"/>
      <c r="M19" s="25"/>
      <c r="N19" s="25">
        <v>2</v>
      </c>
      <c r="O19" s="25"/>
      <c r="P19" s="25"/>
      <c r="Q19" s="27"/>
      <c r="R19" s="25"/>
      <c r="S19" s="25"/>
      <c r="T19" s="25"/>
      <c r="U19" s="25"/>
      <c r="V19" s="25">
        <v>6</v>
      </c>
      <c r="W19" s="25">
        <v>6</v>
      </c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6"/>
      <c r="AI19" s="101"/>
      <c r="AJ19" s="102"/>
    </row>
    <row r="20" spans="1:36" ht="14.25" customHeight="1">
      <c r="A20" s="42">
        <f>A18+1</f>
        <v>9</v>
      </c>
      <c r="B20" s="103" t="s">
        <v>39</v>
      </c>
      <c r="C20" s="94" t="s">
        <v>30</v>
      </c>
      <c r="D20" s="14" t="s">
        <v>40</v>
      </c>
      <c r="E20" s="15" t="s">
        <v>40</v>
      </c>
      <c r="F20" s="15" t="s">
        <v>40</v>
      </c>
      <c r="G20" s="15" t="s">
        <v>40</v>
      </c>
      <c r="H20" s="15" t="s">
        <v>36</v>
      </c>
      <c r="I20" s="15" t="s">
        <v>36</v>
      </c>
      <c r="J20" s="15" t="s">
        <v>36</v>
      </c>
      <c r="K20" s="15" t="s">
        <v>36</v>
      </c>
      <c r="L20" s="15" t="s">
        <v>36</v>
      </c>
      <c r="M20" s="15" t="s">
        <v>36</v>
      </c>
      <c r="N20" s="15" t="s">
        <v>36</v>
      </c>
      <c r="O20" s="15" t="s">
        <v>36</v>
      </c>
      <c r="P20" s="15" t="s">
        <v>36</v>
      </c>
      <c r="Q20" s="15" t="s">
        <v>36</v>
      </c>
      <c r="R20" s="15" t="s">
        <v>37</v>
      </c>
      <c r="S20" s="15" t="s">
        <v>37</v>
      </c>
      <c r="T20" s="15" t="s">
        <v>37</v>
      </c>
      <c r="U20" s="15" t="s">
        <v>37</v>
      </c>
      <c r="V20" s="15" t="s">
        <v>37</v>
      </c>
      <c r="W20" s="15" t="s">
        <v>36</v>
      </c>
      <c r="X20" s="15" t="s">
        <v>36</v>
      </c>
      <c r="Y20" s="15" t="s">
        <v>36</v>
      </c>
      <c r="Z20" s="15" t="s">
        <v>36</v>
      </c>
      <c r="AA20" s="15" t="s">
        <v>36</v>
      </c>
      <c r="AB20" s="15" t="s">
        <v>36</v>
      </c>
      <c r="AC20" s="15" t="s">
        <v>36</v>
      </c>
      <c r="AD20" s="15" t="s">
        <v>36</v>
      </c>
      <c r="AE20" s="15" t="s">
        <v>36</v>
      </c>
      <c r="AF20" s="15" t="s">
        <v>36</v>
      </c>
      <c r="AG20" s="15" t="s">
        <v>37</v>
      </c>
      <c r="AH20" s="16" t="s">
        <v>37</v>
      </c>
      <c r="AI20" s="106">
        <f t="shared" ref="AI20" si="14">COUNTIF(D20:AH21,"x")</f>
        <v>20</v>
      </c>
      <c r="AJ20" s="107">
        <f t="shared" ref="AJ20" si="15">COUNTIF(D20:AH21,"s")</f>
        <v>7</v>
      </c>
    </row>
    <row r="21" spans="1:36" ht="14.25" customHeight="1">
      <c r="A21" s="44"/>
      <c r="B21" s="104"/>
      <c r="C21" s="95"/>
      <c r="D21" s="12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13"/>
      <c r="AI21" s="106"/>
      <c r="AJ21" s="107"/>
    </row>
    <row r="22" spans="1:36" ht="14.25" customHeight="1">
      <c r="A22" s="40">
        <v>10</v>
      </c>
      <c r="B22" s="83" t="s">
        <v>24</v>
      </c>
      <c r="C22" s="96" t="s">
        <v>30</v>
      </c>
      <c r="D22" s="21" t="s">
        <v>35</v>
      </c>
      <c r="E22" s="22" t="s">
        <v>35</v>
      </c>
      <c r="F22" s="22" t="s">
        <v>35</v>
      </c>
      <c r="G22" s="22" t="s">
        <v>35</v>
      </c>
      <c r="H22" s="22" t="s">
        <v>37</v>
      </c>
      <c r="I22" s="22" t="s">
        <v>37</v>
      </c>
      <c r="J22" s="22" t="s">
        <v>37</v>
      </c>
      <c r="K22" s="22" t="s">
        <v>37</v>
      </c>
      <c r="L22" s="22" t="s">
        <v>37</v>
      </c>
      <c r="M22" s="22" t="s">
        <v>36</v>
      </c>
      <c r="N22" s="22" t="s">
        <v>36</v>
      </c>
      <c r="O22" s="22" t="s">
        <v>36</v>
      </c>
      <c r="P22" s="22" t="s">
        <v>36</v>
      </c>
      <c r="Q22" s="22" t="s">
        <v>36</v>
      </c>
      <c r="R22" s="22" t="s">
        <v>36</v>
      </c>
      <c r="S22" s="22" t="s">
        <v>36</v>
      </c>
      <c r="T22" s="22" t="s">
        <v>36</v>
      </c>
      <c r="U22" s="22" t="s">
        <v>36</v>
      </c>
      <c r="V22" s="22" t="s">
        <v>36</v>
      </c>
      <c r="W22" s="22" t="s">
        <v>37</v>
      </c>
      <c r="X22" s="22" t="s">
        <v>37</v>
      </c>
      <c r="Y22" s="22" t="s">
        <v>37</v>
      </c>
      <c r="Z22" s="22" t="s">
        <v>37</v>
      </c>
      <c r="AA22" s="22" t="s">
        <v>37</v>
      </c>
      <c r="AB22" s="22" t="s">
        <v>36</v>
      </c>
      <c r="AC22" s="22" t="s">
        <v>36</v>
      </c>
      <c r="AD22" s="22" t="s">
        <v>36</v>
      </c>
      <c r="AE22" s="22" t="s">
        <v>36</v>
      </c>
      <c r="AF22" s="22" t="s">
        <v>36</v>
      </c>
      <c r="AG22" s="22" t="s">
        <v>36</v>
      </c>
      <c r="AH22" s="23" t="s">
        <v>36</v>
      </c>
      <c r="AI22" s="101">
        <f t="shared" ref="AI22" si="16">COUNTIF(D22:AH23,"x")</f>
        <v>17</v>
      </c>
      <c r="AJ22" s="102">
        <f t="shared" ref="AJ22" si="17">COUNTIF(D22:AH23,"s")</f>
        <v>10</v>
      </c>
    </row>
    <row r="23" spans="1:36" ht="14.25" customHeight="1" thickBot="1">
      <c r="A23" s="62"/>
      <c r="B23" s="112"/>
      <c r="C23" s="98"/>
      <c r="D23" s="54"/>
      <c r="E23" s="55"/>
      <c r="F23" s="55"/>
      <c r="G23" s="55"/>
      <c r="H23" s="55"/>
      <c r="I23" s="55">
        <v>12</v>
      </c>
      <c r="J23" s="55">
        <v>10</v>
      </c>
      <c r="K23" s="55">
        <v>10</v>
      </c>
      <c r="L23" s="55">
        <v>12</v>
      </c>
      <c r="M23" s="55"/>
      <c r="N23" s="55"/>
      <c r="O23" s="55">
        <v>1</v>
      </c>
      <c r="P23" s="55"/>
      <c r="Q23" s="55"/>
      <c r="R23" s="55"/>
      <c r="S23" s="55"/>
      <c r="T23" s="55"/>
      <c r="U23" s="55"/>
      <c r="V23" s="55"/>
      <c r="W23" s="55"/>
      <c r="X23" s="55"/>
      <c r="Y23" s="55">
        <v>10</v>
      </c>
      <c r="Z23" s="55"/>
      <c r="AA23" s="55"/>
      <c r="AB23" s="55"/>
      <c r="AC23" s="55"/>
      <c r="AD23" s="55"/>
      <c r="AE23" s="55"/>
      <c r="AF23" s="55"/>
      <c r="AG23" s="55"/>
      <c r="AH23" s="56"/>
      <c r="AI23" s="113"/>
      <c r="AJ23" s="114"/>
    </row>
    <row r="24" spans="1:36" ht="14.25" customHeight="1">
      <c r="A24" s="42">
        <v>11</v>
      </c>
      <c r="B24" s="103" t="s">
        <v>26</v>
      </c>
      <c r="C24" s="108" t="s">
        <v>30</v>
      </c>
      <c r="D24" s="18" t="s">
        <v>35</v>
      </c>
      <c r="E24" s="2" t="s">
        <v>35</v>
      </c>
      <c r="F24" s="2" t="s">
        <v>35</v>
      </c>
      <c r="G24" s="2" t="s">
        <v>35</v>
      </c>
      <c r="H24" s="2" t="s">
        <v>36</v>
      </c>
      <c r="I24" s="2" t="s">
        <v>36</v>
      </c>
      <c r="J24" s="2" t="s">
        <v>36</v>
      </c>
      <c r="K24" s="2" t="s">
        <v>36</v>
      </c>
      <c r="L24" s="2" t="s">
        <v>36</v>
      </c>
      <c r="M24" s="2" t="s">
        <v>36</v>
      </c>
      <c r="N24" s="2" t="s">
        <v>36</v>
      </c>
      <c r="O24" s="2" t="s">
        <v>36</v>
      </c>
      <c r="P24" s="2" t="s">
        <v>36</v>
      </c>
      <c r="Q24" s="2" t="s">
        <v>36</v>
      </c>
      <c r="R24" s="2" t="s">
        <v>37</v>
      </c>
      <c r="S24" s="2" t="s">
        <v>37</v>
      </c>
      <c r="T24" s="2" t="s">
        <v>37</v>
      </c>
      <c r="U24" s="2" t="s">
        <v>37</v>
      </c>
      <c r="V24" s="2" t="s">
        <v>37</v>
      </c>
      <c r="W24" s="2" t="s">
        <v>36</v>
      </c>
      <c r="X24" s="2" t="s">
        <v>36</v>
      </c>
      <c r="Y24" s="2" t="s">
        <v>36</v>
      </c>
      <c r="Z24" s="2" t="s">
        <v>36</v>
      </c>
      <c r="AA24" s="2" t="s">
        <v>36</v>
      </c>
      <c r="AB24" s="2" t="s">
        <v>36</v>
      </c>
      <c r="AC24" s="2" t="s">
        <v>36</v>
      </c>
      <c r="AD24" s="2" t="s">
        <v>36</v>
      </c>
      <c r="AE24" s="2" t="s">
        <v>36</v>
      </c>
      <c r="AF24" s="2" t="s">
        <v>36</v>
      </c>
      <c r="AG24" s="2" t="s">
        <v>37</v>
      </c>
      <c r="AH24" s="19" t="s">
        <v>37</v>
      </c>
      <c r="AI24" s="85">
        <f t="shared" ref="AI24" si="18">COUNTIF(D24:AH25,"x")</f>
        <v>20</v>
      </c>
      <c r="AJ24" s="87">
        <f t="shared" ref="AJ24" si="19">COUNTIF(D24:AH25,"s")</f>
        <v>7</v>
      </c>
    </row>
    <row r="25" spans="1:36" ht="14.25" customHeight="1">
      <c r="A25" s="39"/>
      <c r="B25" s="104"/>
      <c r="C25" s="95"/>
      <c r="D25" s="12"/>
      <c r="E25" s="6"/>
      <c r="F25" s="6"/>
      <c r="G25" s="6"/>
      <c r="H25" s="6"/>
      <c r="I25" s="6"/>
      <c r="J25" s="6">
        <v>10</v>
      </c>
      <c r="K25" s="6">
        <v>10</v>
      </c>
      <c r="L25" s="6"/>
      <c r="M25" s="6"/>
      <c r="N25" s="6"/>
      <c r="O25" s="6"/>
      <c r="P25" s="6"/>
      <c r="Q25" s="6"/>
      <c r="R25" s="6">
        <v>10</v>
      </c>
      <c r="S25" s="6">
        <v>10</v>
      </c>
      <c r="T25" s="6">
        <v>10</v>
      </c>
      <c r="U25" s="6"/>
      <c r="V25" s="6">
        <v>10</v>
      </c>
      <c r="W25" s="6">
        <v>10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13"/>
      <c r="AI25" s="106"/>
      <c r="AJ25" s="107"/>
    </row>
    <row r="26" spans="1:36" ht="14.25" customHeight="1">
      <c r="A26" s="40">
        <v>12</v>
      </c>
      <c r="B26" s="83"/>
      <c r="C26" s="96"/>
      <c r="D26" s="29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1"/>
      <c r="AI26" s="106">
        <f t="shared" ref="AI26" si="20">COUNTIF(D26:AH27,"x")</f>
        <v>0</v>
      </c>
      <c r="AJ26" s="107">
        <f t="shared" ref="AJ26" si="21">COUNTIF(D26:AH27,"s")</f>
        <v>0</v>
      </c>
    </row>
    <row r="27" spans="1:36" ht="14.25" customHeight="1">
      <c r="A27" s="40"/>
      <c r="B27" s="105"/>
      <c r="C27" s="97"/>
      <c r="D27" s="24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6"/>
      <c r="AI27" s="106"/>
      <c r="AJ27" s="107"/>
    </row>
    <row r="28" spans="1:36" ht="14.25" customHeight="1">
      <c r="A28" s="45">
        <v>13</v>
      </c>
      <c r="B28" s="103"/>
      <c r="C28" s="94"/>
      <c r="D28" s="14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6"/>
      <c r="AI28" s="106">
        <f t="shared" ref="AI28" si="22">COUNTIF(D28:AH29,"x")</f>
        <v>0</v>
      </c>
      <c r="AJ28" s="107">
        <f t="shared" ref="AJ28" si="23">COUNTIF(D28:AH29,"s")</f>
        <v>0</v>
      </c>
    </row>
    <row r="29" spans="1:36" ht="14.25" customHeight="1">
      <c r="A29" s="39"/>
      <c r="B29" s="104"/>
      <c r="C29" s="95"/>
      <c r="D29" s="12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13"/>
      <c r="AI29" s="106"/>
      <c r="AJ29" s="107"/>
    </row>
    <row r="30" spans="1:36" ht="14.25" customHeight="1">
      <c r="A30" s="40">
        <v>14</v>
      </c>
      <c r="B30" s="83"/>
      <c r="C30" s="96"/>
      <c r="D30" s="21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3"/>
      <c r="AI30" s="101">
        <f t="shared" ref="AI30" si="24">COUNTIF(D30:AH31,"x")</f>
        <v>0</v>
      </c>
      <c r="AJ30" s="102">
        <f t="shared" ref="AJ30" si="25">COUNTIF(D30:AH31,"s")</f>
        <v>0</v>
      </c>
    </row>
    <row r="31" spans="1:36" ht="14.25" customHeight="1">
      <c r="A31" s="40"/>
      <c r="B31" s="83"/>
      <c r="C31" s="97"/>
      <c r="D31" s="32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4"/>
      <c r="AI31" s="101"/>
      <c r="AJ31" s="102"/>
    </row>
    <row r="32" spans="1:36" ht="14.25" customHeight="1">
      <c r="A32" s="46">
        <v>15</v>
      </c>
      <c r="B32" s="81"/>
      <c r="C32" s="94"/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6"/>
      <c r="AI32" s="84">
        <f t="shared" ref="AI32" si="26">COUNTIF(D32:AH33,"x")</f>
        <v>0</v>
      </c>
      <c r="AJ32" s="86">
        <f t="shared" ref="AJ32" si="27">COUNTIF(D32:AH33,"s")</f>
        <v>0</v>
      </c>
    </row>
    <row r="33" spans="1:36" ht="14.25" customHeight="1">
      <c r="A33" s="44"/>
      <c r="B33" s="82"/>
      <c r="C33" s="95"/>
      <c r="D33" s="12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13"/>
      <c r="AI33" s="85"/>
      <c r="AJ33" s="87"/>
    </row>
    <row r="34" spans="1:36" ht="15.6" customHeight="1">
      <c r="A34" s="47">
        <v>16</v>
      </c>
      <c r="B34" s="83"/>
      <c r="C34" s="96"/>
      <c r="D34" s="29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1"/>
      <c r="AI34" s="91">
        <f t="shared" ref="AI34:AI38" si="28">COUNTIF(D34:AH35,"x")</f>
        <v>0</v>
      </c>
      <c r="AJ34" s="88">
        <f t="shared" ref="AJ34:AJ38" si="29">COUNTIF(D34:AH35,"s")</f>
        <v>0</v>
      </c>
    </row>
    <row r="35" spans="1:36" ht="16.5" customHeight="1">
      <c r="A35" s="48"/>
      <c r="B35" s="83"/>
      <c r="C35" s="97"/>
      <c r="D35" s="24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49"/>
      <c r="Y35" s="50"/>
      <c r="Z35" s="50"/>
      <c r="AA35" s="50"/>
      <c r="AB35" s="50"/>
      <c r="AC35" s="50"/>
      <c r="AD35" s="50"/>
      <c r="AE35" s="50"/>
      <c r="AF35" s="50"/>
      <c r="AG35" s="50"/>
      <c r="AH35" s="51"/>
      <c r="AI35" s="93"/>
      <c r="AJ35" s="90"/>
    </row>
    <row r="36" spans="1:36" ht="15.6" customHeight="1">
      <c r="A36" s="46">
        <v>17</v>
      </c>
      <c r="B36" s="81"/>
      <c r="C36" s="94"/>
      <c r="D36" s="14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6"/>
      <c r="AI36" s="84">
        <f t="shared" si="28"/>
        <v>0</v>
      </c>
      <c r="AJ36" s="86">
        <f t="shared" si="29"/>
        <v>0</v>
      </c>
    </row>
    <row r="37" spans="1:36" ht="14.45" customHeight="1">
      <c r="A37" s="20"/>
      <c r="B37" s="82"/>
      <c r="C37" s="95"/>
      <c r="D37" s="12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13"/>
      <c r="AI37" s="85"/>
      <c r="AJ37" s="87"/>
    </row>
    <row r="38" spans="1:36" ht="15.6" customHeight="1">
      <c r="A38" s="47">
        <v>18</v>
      </c>
      <c r="B38" s="83"/>
      <c r="C38" s="96"/>
      <c r="D38" s="29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1"/>
      <c r="AI38" s="91">
        <f t="shared" si="28"/>
        <v>0</v>
      </c>
      <c r="AJ38" s="88">
        <f t="shared" si="29"/>
        <v>0</v>
      </c>
    </row>
    <row r="39" spans="1:36" ht="14.45" customHeight="1">
      <c r="A39" s="48"/>
      <c r="B39" s="83"/>
      <c r="C39" s="97"/>
      <c r="D39" s="24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6"/>
      <c r="AI39" s="93"/>
      <c r="AJ39" s="90"/>
    </row>
    <row r="40" spans="1:36" ht="15.6" customHeight="1">
      <c r="A40" s="46">
        <v>19</v>
      </c>
      <c r="B40" s="81"/>
      <c r="C40" s="94"/>
      <c r="D40" s="14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6"/>
      <c r="AI40" s="84"/>
      <c r="AJ40" s="86"/>
    </row>
    <row r="41" spans="1:36" ht="14.45" customHeight="1">
      <c r="A41" s="20"/>
      <c r="B41" s="82"/>
      <c r="C41" s="95"/>
      <c r="D41" s="12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13"/>
      <c r="AI41" s="85"/>
      <c r="AJ41" s="87"/>
    </row>
    <row r="42" spans="1:36" ht="15.6" customHeight="1">
      <c r="A42" s="47">
        <v>20</v>
      </c>
      <c r="B42" s="79"/>
      <c r="C42" s="96"/>
      <c r="D42" s="29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1"/>
      <c r="AI42" s="91"/>
      <c r="AJ42" s="88"/>
    </row>
    <row r="43" spans="1:36" ht="15" customHeight="1" thickBot="1">
      <c r="A43" s="53"/>
      <c r="B43" s="80"/>
      <c r="C43" s="98"/>
      <c r="D43" s="54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6"/>
      <c r="AI43" s="92"/>
      <c r="AJ43" s="89"/>
    </row>
    <row r="44" spans="1:36" ht="16.5">
      <c r="X44" s="37"/>
    </row>
    <row r="45" spans="1:36" ht="16.5">
      <c r="X45" s="37" t="s">
        <v>3</v>
      </c>
    </row>
  </sheetData>
  <mergeCells count="85">
    <mergeCell ref="A1:B1"/>
    <mergeCell ref="B4:B5"/>
    <mergeCell ref="AI4:AI5"/>
    <mergeCell ref="AJ4:AJ5"/>
    <mergeCell ref="B6:B7"/>
    <mergeCell ref="AI6:AI7"/>
    <mergeCell ref="AJ6:AJ7"/>
    <mergeCell ref="D2:AH2"/>
    <mergeCell ref="AG1:AJ1"/>
    <mergeCell ref="AD1:AF1"/>
    <mergeCell ref="Y1:AB1"/>
    <mergeCell ref="C4:C5"/>
    <mergeCell ref="AJ16:AJ17"/>
    <mergeCell ref="B8:B9"/>
    <mergeCell ref="AI8:AI9"/>
    <mergeCell ref="AJ8:AJ9"/>
    <mergeCell ref="B12:B13"/>
    <mergeCell ref="AI12:AI13"/>
    <mergeCell ref="AJ12:AJ13"/>
    <mergeCell ref="B10:B11"/>
    <mergeCell ref="AI10:AI11"/>
    <mergeCell ref="AJ10:AJ11"/>
    <mergeCell ref="B14:B15"/>
    <mergeCell ref="AI14:AI15"/>
    <mergeCell ref="AJ14:AJ15"/>
    <mergeCell ref="B16:B17"/>
    <mergeCell ref="AI16:AI17"/>
    <mergeCell ref="C16:C17"/>
    <mergeCell ref="B18:B19"/>
    <mergeCell ref="AI18:AI19"/>
    <mergeCell ref="AJ18:AJ19"/>
    <mergeCell ref="B22:B23"/>
    <mergeCell ref="AI22:AI23"/>
    <mergeCell ref="AJ22:AJ23"/>
    <mergeCell ref="B20:B21"/>
    <mergeCell ref="AI20:AI21"/>
    <mergeCell ref="AJ20:AJ21"/>
    <mergeCell ref="C20:C21"/>
    <mergeCell ref="C18:C19"/>
    <mergeCell ref="C22:C23"/>
    <mergeCell ref="AI30:AI31"/>
    <mergeCell ref="AJ30:AJ31"/>
    <mergeCell ref="B24:B25"/>
    <mergeCell ref="B26:B27"/>
    <mergeCell ref="B28:B29"/>
    <mergeCell ref="AI26:AI27"/>
    <mergeCell ref="AJ26:AJ27"/>
    <mergeCell ref="AI28:AI29"/>
    <mergeCell ref="AJ28:AJ29"/>
    <mergeCell ref="AI24:AI25"/>
    <mergeCell ref="AJ24:AJ25"/>
    <mergeCell ref="C26:C27"/>
    <mergeCell ref="C24:C25"/>
    <mergeCell ref="C14:C15"/>
    <mergeCell ref="C12:C13"/>
    <mergeCell ref="C10:C11"/>
    <mergeCell ref="C8:C9"/>
    <mergeCell ref="C6:C7"/>
    <mergeCell ref="C42:C43"/>
    <mergeCell ref="C40:C41"/>
    <mergeCell ref="C38:C39"/>
    <mergeCell ref="C36:C37"/>
    <mergeCell ref="C34:C35"/>
    <mergeCell ref="B34:B35"/>
    <mergeCell ref="C32:C33"/>
    <mergeCell ref="C30:C31"/>
    <mergeCell ref="C28:C29"/>
    <mergeCell ref="B30:B31"/>
    <mergeCell ref="B32:B33"/>
    <mergeCell ref="B42:B43"/>
    <mergeCell ref="B40:B41"/>
    <mergeCell ref="B38:B39"/>
    <mergeCell ref="AI32:AI33"/>
    <mergeCell ref="AJ32:AJ33"/>
    <mergeCell ref="AJ42:AJ43"/>
    <mergeCell ref="AJ40:AJ41"/>
    <mergeCell ref="AJ38:AJ39"/>
    <mergeCell ref="AJ36:AJ37"/>
    <mergeCell ref="AJ34:AJ35"/>
    <mergeCell ref="AI42:AI43"/>
    <mergeCell ref="AI40:AI41"/>
    <mergeCell ref="AI38:AI39"/>
    <mergeCell ref="AI36:AI37"/>
    <mergeCell ref="AI34:AI35"/>
    <mergeCell ref="B36:B37"/>
  </mergeCells>
  <printOptions horizontalCentered="1" verticalCentered="1"/>
  <pageMargins left="0.28000000000000003" right="0.32" top="0.16" bottom="0.19" header="0.21" footer="0.16"/>
  <pageSetup paperSize="9"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B1696-AB13-444F-BABD-D5722FC8AE0F}">
  <sheetPr>
    <pageSetUpPr fitToPage="1"/>
  </sheetPr>
  <dimension ref="A1:AJ45"/>
  <sheetViews>
    <sheetView view="pageBreakPreview" zoomScaleSheetLayoutView="100" workbookViewId="0">
      <selection activeCell="D2" sqref="D2:AH2"/>
    </sheetView>
  </sheetViews>
  <sheetFormatPr defaultRowHeight="15"/>
  <cols>
    <col min="1" max="1" width="4" style="1" customWidth="1"/>
    <col min="2" max="2" width="37.42578125" customWidth="1"/>
    <col min="3" max="3" width="23.85546875" customWidth="1"/>
    <col min="4" max="34" width="3" style="1" customWidth="1"/>
    <col min="35" max="36" width="10.85546875" customWidth="1"/>
  </cols>
  <sheetData>
    <row r="1" spans="1:36" ht="22.5" customHeight="1">
      <c r="A1" s="125"/>
      <c r="B1" s="125"/>
      <c r="C1" s="52"/>
      <c r="D1" s="68" t="s">
        <v>4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70" t="s">
        <v>8</v>
      </c>
      <c r="W1" s="69"/>
      <c r="X1" s="70"/>
      <c r="Y1" s="131">
        <v>2025</v>
      </c>
      <c r="Z1" s="131"/>
      <c r="AA1" s="131"/>
      <c r="AB1" s="131"/>
      <c r="AC1" s="69"/>
      <c r="AD1" s="132" t="s">
        <v>6</v>
      </c>
      <c r="AE1" s="132"/>
      <c r="AF1" s="132"/>
      <c r="AG1" s="131" t="s">
        <v>7</v>
      </c>
      <c r="AH1" s="131"/>
      <c r="AI1" s="131"/>
      <c r="AJ1" s="131"/>
    </row>
    <row r="2" spans="1:36" ht="26.25" customHeight="1" thickBot="1">
      <c r="B2" s="28"/>
      <c r="C2" s="28"/>
      <c r="D2" s="130" t="s">
        <v>5</v>
      </c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35"/>
      <c r="AJ2" s="36"/>
    </row>
    <row r="3" spans="1:36" ht="21.75" customHeight="1" thickBot="1">
      <c r="A3" s="3" t="s">
        <v>0</v>
      </c>
      <c r="B3" s="5" t="s">
        <v>2</v>
      </c>
      <c r="C3" s="57" t="s">
        <v>14</v>
      </c>
      <c r="D3" s="3">
        <v>1</v>
      </c>
      <c r="E3" s="4">
        <v>2</v>
      </c>
      <c r="F3" s="4">
        <v>3</v>
      </c>
      <c r="G3" s="4">
        <v>4</v>
      </c>
      <c r="H3" s="4">
        <v>5</v>
      </c>
      <c r="I3" s="4">
        <v>6</v>
      </c>
      <c r="J3" s="4">
        <v>7</v>
      </c>
      <c r="K3" s="4">
        <v>8</v>
      </c>
      <c r="L3" s="4">
        <v>9</v>
      </c>
      <c r="M3" s="4">
        <v>10</v>
      </c>
      <c r="N3" s="4">
        <v>11</v>
      </c>
      <c r="O3" s="4">
        <v>12</v>
      </c>
      <c r="P3" s="4">
        <v>13</v>
      </c>
      <c r="Q3" s="4">
        <v>14</v>
      </c>
      <c r="R3" s="4">
        <v>15</v>
      </c>
      <c r="S3" s="4">
        <v>16</v>
      </c>
      <c r="T3" s="4">
        <v>17</v>
      </c>
      <c r="U3" s="4">
        <v>18</v>
      </c>
      <c r="V3" s="4">
        <v>19</v>
      </c>
      <c r="W3" s="4">
        <v>20</v>
      </c>
      <c r="X3" s="4">
        <v>21</v>
      </c>
      <c r="Y3" s="4">
        <v>22</v>
      </c>
      <c r="Z3" s="4">
        <v>23</v>
      </c>
      <c r="AA3" s="4">
        <v>24</v>
      </c>
      <c r="AB3" s="4">
        <v>25</v>
      </c>
      <c r="AC3" s="4">
        <v>26</v>
      </c>
      <c r="AD3" s="4">
        <v>27</v>
      </c>
      <c r="AE3" s="4">
        <v>28</v>
      </c>
      <c r="AF3" s="4">
        <v>29</v>
      </c>
      <c r="AG3" s="4">
        <v>30</v>
      </c>
      <c r="AH3" s="5">
        <v>31</v>
      </c>
      <c r="AI3" s="7" t="s">
        <v>1</v>
      </c>
      <c r="AJ3" s="8" t="s">
        <v>9</v>
      </c>
    </row>
    <row r="4" spans="1:36" ht="14.25" customHeight="1">
      <c r="A4" s="38">
        <v>1</v>
      </c>
      <c r="B4" s="122" t="s">
        <v>10</v>
      </c>
      <c r="C4" s="124" t="s">
        <v>15</v>
      </c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126">
        <f>COUNTIF(D4:AH5,"x")</f>
        <v>0</v>
      </c>
      <c r="AJ4" s="128">
        <f>COUNTIF(D4:AH5,"s")</f>
        <v>0</v>
      </c>
    </row>
    <row r="5" spans="1:36" ht="14.25" customHeight="1">
      <c r="A5" s="39"/>
      <c r="B5" s="104"/>
      <c r="C5" s="95"/>
      <c r="D5" s="12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13"/>
      <c r="AI5" s="127"/>
      <c r="AJ5" s="129"/>
    </row>
    <row r="6" spans="1:36" ht="14.25" customHeight="1">
      <c r="A6" s="40">
        <v>2</v>
      </c>
      <c r="B6" s="83" t="s">
        <v>11</v>
      </c>
      <c r="C6" s="96" t="s">
        <v>15</v>
      </c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3"/>
      <c r="AI6" s="101">
        <f t="shared" ref="AI6" si="0">COUNTIF(D6:AH7,"x")</f>
        <v>0</v>
      </c>
      <c r="AJ6" s="102">
        <f t="shared" ref="AJ6" si="1">COUNTIF(D6:AH7,"s")</f>
        <v>0</v>
      </c>
    </row>
    <row r="7" spans="1:36" ht="14.25" customHeight="1">
      <c r="A7" s="41"/>
      <c r="B7" s="105"/>
      <c r="C7" s="97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6"/>
      <c r="AI7" s="101"/>
      <c r="AJ7" s="102"/>
    </row>
    <row r="8" spans="1:36" ht="14.25" customHeight="1">
      <c r="A8" s="45">
        <v>3</v>
      </c>
      <c r="B8" s="118" t="s">
        <v>12</v>
      </c>
      <c r="C8" s="94" t="s">
        <v>15</v>
      </c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6"/>
      <c r="AI8" s="106">
        <f t="shared" ref="AI8" si="2">COUNTIF(D8:AH9,"x")</f>
        <v>0</v>
      </c>
      <c r="AJ8" s="107">
        <f t="shared" ref="AJ8" si="3">COUNTIF(D8:AH9,"s")</f>
        <v>0</v>
      </c>
    </row>
    <row r="9" spans="1:36" ht="14.25" customHeight="1" thickBot="1">
      <c r="A9" s="58"/>
      <c r="B9" s="119"/>
      <c r="C9" s="100"/>
      <c r="D9" s="59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1"/>
      <c r="AI9" s="120"/>
      <c r="AJ9" s="117"/>
    </row>
    <row r="10" spans="1:36" ht="14.25" customHeight="1">
      <c r="A10" s="40">
        <v>4</v>
      </c>
      <c r="B10" s="83" t="s">
        <v>13</v>
      </c>
      <c r="C10" s="99" t="s">
        <v>16</v>
      </c>
      <c r="D10" s="2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3"/>
      <c r="AI10" s="93">
        <f t="shared" ref="AI10" si="4">COUNTIF(D10:AH11,"x")</f>
        <v>0</v>
      </c>
      <c r="AJ10" s="90">
        <f t="shared" ref="AJ10" si="5">COUNTIF(D10:AH11,"s")</f>
        <v>0</v>
      </c>
    </row>
    <row r="11" spans="1:36" ht="14.25" customHeight="1">
      <c r="A11" s="41"/>
      <c r="B11" s="105"/>
      <c r="C11" s="97"/>
      <c r="D11" s="24"/>
      <c r="E11" s="25"/>
      <c r="F11" s="25"/>
      <c r="G11" s="25"/>
      <c r="H11" s="27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6"/>
      <c r="AI11" s="101"/>
      <c r="AJ11" s="102"/>
    </row>
    <row r="12" spans="1:36" ht="14.25" customHeight="1">
      <c r="A12" s="42">
        <f>A10+1</f>
        <v>5</v>
      </c>
      <c r="B12" s="103"/>
      <c r="C12" s="94" t="s">
        <v>16</v>
      </c>
      <c r="D12" s="18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19"/>
      <c r="AI12" s="106">
        <f t="shared" ref="AI12" si="6">COUNTIF(D12:AH13,"x")</f>
        <v>0</v>
      </c>
      <c r="AJ12" s="107">
        <f t="shared" ref="AJ12" si="7">COUNTIF(D12:AH13,"s")</f>
        <v>0</v>
      </c>
    </row>
    <row r="13" spans="1:36" ht="14.25" customHeight="1">
      <c r="A13" s="39"/>
      <c r="B13" s="104"/>
      <c r="C13" s="95"/>
      <c r="D13" s="12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7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13"/>
      <c r="AI13" s="106"/>
      <c r="AJ13" s="107"/>
    </row>
    <row r="14" spans="1:36" ht="14.25" customHeight="1">
      <c r="A14" s="43">
        <v>6</v>
      </c>
      <c r="B14" s="121"/>
      <c r="C14" s="96" t="s">
        <v>16</v>
      </c>
      <c r="D14" s="29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1"/>
      <c r="AI14" s="101">
        <f t="shared" ref="AI14" si="8">COUNTIF(D14:AH15,"x")</f>
        <v>0</v>
      </c>
      <c r="AJ14" s="102">
        <f t="shared" ref="AJ14" si="9">COUNTIF(D14:AH15,"s")</f>
        <v>0</v>
      </c>
    </row>
    <row r="15" spans="1:36" ht="14.25" customHeight="1" thickBot="1">
      <c r="A15" s="62"/>
      <c r="B15" s="112"/>
      <c r="C15" s="98"/>
      <c r="D15" s="54"/>
      <c r="E15" s="55"/>
      <c r="F15" s="55"/>
      <c r="G15" s="55"/>
      <c r="H15" s="63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6"/>
      <c r="AI15" s="113"/>
      <c r="AJ15" s="114"/>
    </row>
    <row r="16" spans="1:36" ht="14.25" customHeight="1">
      <c r="A16" s="38">
        <f>A14+1</f>
        <v>7</v>
      </c>
      <c r="B16" s="122"/>
      <c r="C16" s="124" t="s">
        <v>17</v>
      </c>
      <c r="D16" s="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1"/>
      <c r="AI16" s="123">
        <f t="shared" ref="AI16" si="10">COUNTIF(D16:AH17,"x")</f>
        <v>0</v>
      </c>
      <c r="AJ16" s="116">
        <f t="shared" ref="AJ16" si="11">COUNTIF(D16:AH17,"s")</f>
        <v>0</v>
      </c>
    </row>
    <row r="17" spans="1:36" ht="14.25" customHeight="1" thickBot="1">
      <c r="A17" s="58"/>
      <c r="B17" s="119"/>
      <c r="C17" s="100"/>
      <c r="D17" s="59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1"/>
      <c r="AI17" s="120"/>
      <c r="AJ17" s="117"/>
    </row>
    <row r="18" spans="1:36" ht="14.25" customHeight="1">
      <c r="A18" s="64">
        <v>8</v>
      </c>
      <c r="B18" s="109"/>
      <c r="C18" s="115" t="s">
        <v>18</v>
      </c>
      <c r="D18" s="65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7"/>
      <c r="AI18" s="110">
        <f t="shared" ref="AI18" si="12">COUNTIF(D18:AH19,"x")</f>
        <v>0</v>
      </c>
      <c r="AJ18" s="111">
        <f t="shared" ref="AJ18" si="13">COUNTIF(D18:AH19,"s")</f>
        <v>0</v>
      </c>
    </row>
    <row r="19" spans="1:36" ht="14.25" customHeight="1">
      <c r="A19" s="41"/>
      <c r="B19" s="105"/>
      <c r="C19" s="97"/>
      <c r="D19" s="24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7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6"/>
      <c r="AI19" s="101"/>
      <c r="AJ19" s="102"/>
    </row>
    <row r="20" spans="1:36" ht="14.25" customHeight="1">
      <c r="A20" s="42">
        <f>A18+1</f>
        <v>9</v>
      </c>
      <c r="B20" s="103"/>
      <c r="C20" s="94" t="s">
        <v>18</v>
      </c>
      <c r="D20" s="14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6"/>
      <c r="AI20" s="106">
        <f t="shared" ref="AI20" si="14">COUNTIF(D20:AH21,"x")</f>
        <v>0</v>
      </c>
      <c r="AJ20" s="107">
        <f t="shared" ref="AJ20" si="15">COUNTIF(D20:AH21,"s")</f>
        <v>0</v>
      </c>
    </row>
    <row r="21" spans="1:36" ht="14.25" customHeight="1">
      <c r="A21" s="44"/>
      <c r="B21" s="104"/>
      <c r="C21" s="95"/>
      <c r="D21" s="12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13"/>
      <c r="AI21" s="106"/>
      <c r="AJ21" s="107"/>
    </row>
    <row r="22" spans="1:36" ht="14.25" customHeight="1">
      <c r="A22" s="40">
        <v>10</v>
      </c>
      <c r="B22" s="83"/>
      <c r="C22" s="96" t="s">
        <v>18</v>
      </c>
      <c r="D22" s="21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3"/>
      <c r="AI22" s="101">
        <f t="shared" ref="AI22" si="16">COUNTIF(D22:AH23,"x")</f>
        <v>0</v>
      </c>
      <c r="AJ22" s="102">
        <f t="shared" ref="AJ22" si="17">COUNTIF(D22:AH23,"s")</f>
        <v>0</v>
      </c>
    </row>
    <row r="23" spans="1:36" ht="14.25" customHeight="1" thickBot="1">
      <c r="A23" s="62"/>
      <c r="B23" s="112"/>
      <c r="C23" s="98"/>
      <c r="D23" s="54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6"/>
      <c r="AI23" s="113"/>
      <c r="AJ23" s="114"/>
    </row>
    <row r="24" spans="1:36" ht="14.25" customHeight="1">
      <c r="A24" s="42">
        <v>11</v>
      </c>
      <c r="B24" s="103"/>
      <c r="C24" s="108" t="s">
        <v>19</v>
      </c>
      <c r="D24" s="18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19"/>
      <c r="AI24" s="85">
        <f t="shared" ref="AI24" si="18">COUNTIF(D24:AH25,"x")</f>
        <v>0</v>
      </c>
      <c r="AJ24" s="87">
        <f t="shared" ref="AJ24" si="19">COUNTIF(D24:AH25,"s")</f>
        <v>0</v>
      </c>
    </row>
    <row r="25" spans="1:36" ht="14.25" customHeight="1">
      <c r="A25" s="39"/>
      <c r="B25" s="104"/>
      <c r="C25" s="95"/>
      <c r="D25" s="12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13"/>
      <c r="AI25" s="106"/>
      <c r="AJ25" s="107"/>
    </row>
    <row r="26" spans="1:36" ht="14.25" customHeight="1">
      <c r="A26" s="40">
        <v>12</v>
      </c>
      <c r="B26" s="83"/>
      <c r="C26" s="96" t="s">
        <v>19</v>
      </c>
      <c r="D26" s="29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1"/>
      <c r="AI26" s="106">
        <f t="shared" ref="AI26" si="20">COUNTIF(D26:AH27,"x")</f>
        <v>0</v>
      </c>
      <c r="AJ26" s="107">
        <f t="shared" ref="AJ26" si="21">COUNTIF(D26:AH27,"s")</f>
        <v>0</v>
      </c>
    </row>
    <row r="27" spans="1:36" ht="14.25" customHeight="1">
      <c r="A27" s="40"/>
      <c r="B27" s="105"/>
      <c r="C27" s="97"/>
      <c r="D27" s="24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6"/>
      <c r="AI27" s="106"/>
      <c r="AJ27" s="107"/>
    </row>
    <row r="28" spans="1:36" ht="14.25" customHeight="1">
      <c r="A28" s="45">
        <v>13</v>
      </c>
      <c r="B28" s="103"/>
      <c r="C28" s="94" t="s">
        <v>19</v>
      </c>
      <c r="D28" s="14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6"/>
      <c r="AI28" s="106">
        <f t="shared" ref="AI28" si="22">COUNTIF(D28:AH29,"x")</f>
        <v>0</v>
      </c>
      <c r="AJ28" s="107">
        <f t="shared" ref="AJ28" si="23">COUNTIF(D28:AH29,"s")</f>
        <v>0</v>
      </c>
    </row>
    <row r="29" spans="1:36" ht="14.25" customHeight="1">
      <c r="A29" s="39"/>
      <c r="B29" s="104"/>
      <c r="C29" s="95"/>
      <c r="D29" s="12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13"/>
      <c r="AI29" s="106"/>
      <c r="AJ29" s="107"/>
    </row>
    <row r="30" spans="1:36" ht="14.25" customHeight="1">
      <c r="A30" s="40">
        <v>14</v>
      </c>
      <c r="B30" s="83"/>
      <c r="C30" s="96" t="s">
        <v>19</v>
      </c>
      <c r="D30" s="21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3"/>
      <c r="AI30" s="101">
        <f t="shared" ref="AI30" si="24">COUNTIF(D30:AH31,"x")</f>
        <v>0</v>
      </c>
      <c r="AJ30" s="102">
        <f t="shared" ref="AJ30" si="25">COUNTIF(D30:AH31,"s")</f>
        <v>0</v>
      </c>
    </row>
    <row r="31" spans="1:36" ht="14.25" customHeight="1">
      <c r="A31" s="40"/>
      <c r="B31" s="83"/>
      <c r="C31" s="97"/>
      <c r="D31" s="32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4"/>
      <c r="AI31" s="101"/>
      <c r="AJ31" s="102"/>
    </row>
    <row r="32" spans="1:36" ht="14.25" customHeight="1">
      <c r="A32" s="46">
        <v>15</v>
      </c>
      <c r="B32" s="81"/>
      <c r="C32" s="94" t="s">
        <v>19</v>
      </c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6"/>
      <c r="AI32" s="84">
        <f t="shared" ref="AI32" si="26">COUNTIF(D32:AH33,"x")</f>
        <v>0</v>
      </c>
      <c r="AJ32" s="86">
        <f t="shared" ref="AJ32" si="27">COUNTIF(D32:AH33,"s")</f>
        <v>0</v>
      </c>
    </row>
    <row r="33" spans="1:36" ht="14.25" customHeight="1">
      <c r="A33" s="44"/>
      <c r="B33" s="82"/>
      <c r="C33" s="95"/>
      <c r="D33" s="12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13"/>
      <c r="AI33" s="85"/>
      <c r="AJ33" s="87"/>
    </row>
    <row r="34" spans="1:36">
      <c r="A34" s="47">
        <v>16</v>
      </c>
      <c r="B34" s="133"/>
      <c r="C34" s="96" t="s">
        <v>19</v>
      </c>
      <c r="D34" s="29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1"/>
      <c r="AI34" s="91">
        <f t="shared" ref="AI34" si="28">COUNTIF(D34:AH35,"x")</f>
        <v>0</v>
      </c>
      <c r="AJ34" s="88">
        <f t="shared" ref="AJ34" si="29">COUNTIF(D34:AH35,"s")</f>
        <v>0</v>
      </c>
    </row>
    <row r="35" spans="1:36" ht="16.5">
      <c r="A35" s="48"/>
      <c r="B35" s="135"/>
      <c r="C35" s="97"/>
      <c r="D35" s="24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49"/>
      <c r="Y35" s="50"/>
      <c r="Z35" s="50"/>
      <c r="AA35" s="50"/>
      <c r="AB35" s="50"/>
      <c r="AC35" s="50"/>
      <c r="AD35" s="50"/>
      <c r="AE35" s="50"/>
      <c r="AF35" s="50"/>
      <c r="AG35" s="50"/>
      <c r="AH35" s="51"/>
      <c r="AI35" s="93"/>
      <c r="AJ35" s="90"/>
    </row>
    <row r="36" spans="1:36">
      <c r="A36" s="46">
        <v>17</v>
      </c>
      <c r="B36" s="136"/>
      <c r="C36" s="94"/>
      <c r="D36" s="14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6"/>
      <c r="AI36" s="84"/>
      <c r="AJ36" s="86"/>
    </row>
    <row r="37" spans="1:36">
      <c r="A37" s="20"/>
      <c r="B37" s="137"/>
      <c r="C37" s="95"/>
      <c r="D37" s="12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13"/>
      <c r="AI37" s="85"/>
      <c r="AJ37" s="87"/>
    </row>
    <row r="38" spans="1:36">
      <c r="A38" s="47">
        <v>18</v>
      </c>
      <c r="B38" s="133"/>
      <c r="C38" s="96"/>
      <c r="D38" s="29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1"/>
      <c r="AI38" s="91"/>
      <c r="AJ38" s="88"/>
    </row>
    <row r="39" spans="1:36">
      <c r="A39" s="48"/>
      <c r="B39" s="135"/>
      <c r="C39" s="97"/>
      <c r="D39" s="24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6"/>
      <c r="AI39" s="93"/>
      <c r="AJ39" s="90"/>
    </row>
    <row r="40" spans="1:36">
      <c r="A40" s="46">
        <v>19</v>
      </c>
      <c r="B40" s="136"/>
      <c r="C40" s="94"/>
      <c r="D40" s="14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6"/>
      <c r="AI40" s="84"/>
      <c r="AJ40" s="86"/>
    </row>
    <row r="41" spans="1:36">
      <c r="A41" s="20"/>
      <c r="B41" s="137"/>
      <c r="C41" s="95"/>
      <c r="D41" s="12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13"/>
      <c r="AI41" s="85"/>
      <c r="AJ41" s="87"/>
    </row>
    <row r="42" spans="1:36">
      <c r="A42" s="47">
        <v>20</v>
      </c>
      <c r="B42" s="133"/>
      <c r="C42" s="96"/>
      <c r="D42" s="29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1"/>
      <c r="AI42" s="91"/>
      <c r="AJ42" s="88"/>
    </row>
    <row r="43" spans="1:36" ht="15.75" thickBot="1">
      <c r="A43" s="53"/>
      <c r="B43" s="134"/>
      <c r="C43" s="98"/>
      <c r="D43" s="54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6"/>
      <c r="AI43" s="92"/>
      <c r="AJ43" s="89"/>
    </row>
    <row r="44" spans="1:36" ht="16.5">
      <c r="X44" s="37"/>
    </row>
    <row r="45" spans="1:36" ht="16.5">
      <c r="X45" s="37" t="s">
        <v>3</v>
      </c>
    </row>
  </sheetData>
  <mergeCells count="85">
    <mergeCell ref="B4:B5"/>
    <mergeCell ref="C4:C5"/>
    <mergeCell ref="AI4:AI5"/>
    <mergeCell ref="AJ4:AJ5"/>
    <mergeCell ref="A1:B1"/>
    <mergeCell ref="Y1:AB1"/>
    <mergeCell ref="AD1:AF1"/>
    <mergeCell ref="AG1:AJ1"/>
    <mergeCell ref="D2:AH2"/>
    <mergeCell ref="B6:B7"/>
    <mergeCell ref="C6:C7"/>
    <mergeCell ref="AI6:AI7"/>
    <mergeCell ref="AJ6:AJ7"/>
    <mergeCell ref="B8:B9"/>
    <mergeCell ref="C8:C9"/>
    <mergeCell ref="AI8:AI9"/>
    <mergeCell ref="AJ8:AJ9"/>
    <mergeCell ref="B10:B11"/>
    <mergeCell ref="C10:C11"/>
    <mergeCell ref="AI10:AI11"/>
    <mergeCell ref="AJ10:AJ11"/>
    <mergeCell ref="B12:B13"/>
    <mergeCell ref="C12:C13"/>
    <mergeCell ref="AI12:AI13"/>
    <mergeCell ref="AJ12:AJ13"/>
    <mergeCell ref="B14:B15"/>
    <mergeCell ref="C14:C15"/>
    <mergeCell ref="AI14:AI15"/>
    <mergeCell ref="AJ14:AJ15"/>
    <mergeCell ref="B16:B17"/>
    <mergeCell ref="C16:C17"/>
    <mergeCell ref="AI16:AI17"/>
    <mergeCell ref="AJ16:AJ17"/>
    <mergeCell ref="B18:B19"/>
    <mergeCell ref="C18:C19"/>
    <mergeCell ref="AI18:AI19"/>
    <mergeCell ref="AJ18:AJ19"/>
    <mergeCell ref="B20:B21"/>
    <mergeCell ref="C20:C21"/>
    <mergeCell ref="AI20:AI21"/>
    <mergeCell ref="AJ20:AJ21"/>
    <mergeCell ref="B22:B23"/>
    <mergeCell ref="C22:C23"/>
    <mergeCell ref="AI22:AI23"/>
    <mergeCell ref="AJ22:AJ23"/>
    <mergeCell ref="B24:B25"/>
    <mergeCell ref="C24:C25"/>
    <mergeCell ref="AI24:AI25"/>
    <mergeCell ref="AJ24:AJ25"/>
    <mergeCell ref="B26:B27"/>
    <mergeCell ref="C26:C27"/>
    <mergeCell ref="AI26:AI27"/>
    <mergeCell ref="AJ26:AJ27"/>
    <mergeCell ref="B28:B29"/>
    <mergeCell ref="C28:C29"/>
    <mergeCell ref="AI28:AI29"/>
    <mergeCell ref="AJ28:AJ29"/>
    <mergeCell ref="B30:B31"/>
    <mergeCell ref="C30:C31"/>
    <mergeCell ref="AI30:AI31"/>
    <mergeCell ref="AJ30:AJ31"/>
    <mergeCell ref="B32:B33"/>
    <mergeCell ref="C32:C33"/>
    <mergeCell ref="AI32:AI33"/>
    <mergeCell ref="AJ32:AJ33"/>
    <mergeCell ref="B34:B35"/>
    <mergeCell ref="C34:C35"/>
    <mergeCell ref="AI34:AI35"/>
    <mergeCell ref="AJ34:AJ35"/>
    <mergeCell ref="B36:B37"/>
    <mergeCell ref="C36:C37"/>
    <mergeCell ref="AI36:AI37"/>
    <mergeCell ref="AJ36:AJ37"/>
    <mergeCell ref="B42:B43"/>
    <mergeCell ref="C42:C43"/>
    <mergeCell ref="AI42:AI43"/>
    <mergeCell ref="AJ42:AJ43"/>
    <mergeCell ref="B38:B39"/>
    <mergeCell ref="C38:C39"/>
    <mergeCell ref="AI38:AI39"/>
    <mergeCell ref="AJ38:AJ39"/>
    <mergeCell ref="B40:B41"/>
    <mergeCell ref="C40:C41"/>
    <mergeCell ref="AI40:AI41"/>
    <mergeCell ref="AJ40:AJ41"/>
  </mergeCells>
  <printOptions horizontalCentered="1" verticalCentered="1"/>
  <pageMargins left="0.28000000000000003" right="0.32" top="0.16" bottom="0.19" header="0.21" footer="0.16"/>
  <pageSetup paperSize="9" scale="7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novembar</vt:lpstr>
      <vt:lpstr>decembar</vt:lpstr>
      <vt:lpstr>decembar!Print_Area</vt:lpstr>
      <vt:lpstr>novembar!Print_Area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Zoltan Biro</dc:creator>
  <cp:lastModifiedBy>Hp</cp:lastModifiedBy>
  <cp:lastPrinted>2026-01-08T06:00:48Z</cp:lastPrinted>
  <dcterms:created xsi:type="dcterms:W3CDTF">2011-11-16T09:20:46Z</dcterms:created>
  <dcterms:modified xsi:type="dcterms:W3CDTF">2026-01-27T14:29:29Z</dcterms:modified>
</cp:coreProperties>
</file>